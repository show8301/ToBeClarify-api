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總覽" sheetId="1" r:id="rId5"/>
    <sheet state="visible" name="site_settings" sheetId="2" r:id="rId6"/>
    <sheet state="visible" name="navigation_items" sheetId="3" r:id="rId7"/>
    <sheet state="visible" name="home_event_carousels" sheetId="4" r:id="rId8"/>
    <sheet state="visible" name="shop_rules" sheetId="5" r:id="rId9"/>
    <sheet state="visible" name="pricing_rules" sheetId="6" r:id="rId10"/>
    <sheet state="visible" name="staff_members" sheetId="7" r:id="rId11"/>
    <sheet state="visible" name="staff_services" sheetId="8" r:id="rId12"/>
    <sheet state="visible" name="events" sheetId="9" r:id="rId13"/>
    <sheet state="visible" name="gallery_albums" sheetId="10" r:id="rId14"/>
    <sheet state="visible" name="gallery_items" sheetId="11" r:id="rId15"/>
    <sheet state="visible" name="guestbook_comments" sheetId="12" r:id="rId16"/>
    <sheet state="visible" name="guestbook_replies" sheetId="13" r:id="rId17"/>
    <sheet state="visible" name="menu_categories" sheetId="14" r:id="rId18"/>
    <sheet state="visible" name="menu_items" sheetId="15" r:id="rId19"/>
    <sheet state="visible" name="menu_sets" sheetId="16" r:id="rId20"/>
    <sheet state="visible" name="menu_set_items" sheetId="17" r:id="rId21"/>
    <sheet state="visible" name="staff_reservations" sheetId="18" r:id="rId22"/>
    <sheet state="visible" name="rankings" sheetId="19" r:id="rId23"/>
  </sheets>
  <definedNames/>
  <calcPr/>
</workbook>
</file>

<file path=xl/sharedStrings.xml><?xml version="1.0" encoding="utf-8"?>
<sst xmlns="http://schemas.openxmlformats.org/spreadsheetml/2006/main" count="931" uniqueCount="333">
  <si>
    <t>ToBeClarify-web DB 資料表設計總覽</t>
  </si>
  <si>
    <t>設計原則</t>
  </si>
  <si>
    <t>不使用 FK</t>
  </si>
  <si>
    <t>刪除策略</t>
  </si>
  <si>
    <t>硬刪除；跨表清理由後端 service 控制。</t>
  </si>
  <si>
    <t>功能區</t>
  </si>
  <si>
    <t>資料表</t>
  </si>
  <si>
    <t>用途</t>
  </si>
  <si>
    <t>刪除策略 / 關聯注意事項</t>
  </si>
  <si>
    <t>全站設定</t>
  </si>
  <si>
    <t>店名、地址、營業時間、社群連結、首頁簡介等全站設定。</t>
  </si>
  <si>
    <t>單筆或少量設定資料，硬刪除時不需連動其他表。</t>
  </si>
  <si>
    <t>導覽</t>
  </si>
  <si>
    <t>Navbar / Footer 的連結、排序、啟用狀態與階層。</t>
  </si>
  <si>
    <t>parentItemId 僅為一般欄位，不設定 FK；刪除父層時由後端一併處理子項。</t>
  </si>
  <si>
    <t>首頁輪播</t>
  </si>
  <si>
    <t>首頁慶典情報輪播顯示內容，可選擇對應 events。</t>
  </si>
  <si>
    <t>eventId 不設定 FK；刪除活動時可硬刪或保留輪播快照。</t>
  </si>
  <si>
    <t>店內規則</t>
  </si>
  <si>
    <t>首頁顯示的店內規則清單。</t>
  </si>
  <si>
    <t>硬刪除即可。</t>
  </si>
  <si>
    <t>消費規則</t>
  </si>
  <si>
    <t>佳餚名錄上方的消費規則、收費說明與備註。</t>
  </si>
  <si>
    <t>店員</t>
  </si>
  <si>
    <t>店員基本資料、暱稱、狀態、圖片與介紹。</t>
  </si>
  <si>
    <t>刪除店員時由後端清理 staff_services、staff_reservations；排行榜可保留快照。</t>
  </si>
  <si>
    <t>店員個人特殊服務、說明文字、價格與排序。</t>
  </si>
  <si>
    <t>staffId 不設定 FK；店員刪除時硬刪相關服務。</t>
  </si>
  <si>
    <t>活動</t>
  </si>
  <si>
    <t>慶典情報完整活動資料。</t>
  </si>
  <si>
    <t>刪除活動時由後端處理 home_event_carousels 的 eventId 或快照。</t>
  </si>
  <si>
    <t>相簿</t>
  </si>
  <si>
    <t>留聲機 / 相簿分類。</t>
  </si>
  <si>
    <t>刪除相簿時硬刪 gallery_items。</t>
  </si>
  <si>
    <t>相簿圖片、標題、描述、排序與展示狀態。</t>
  </si>
  <si>
    <t>albumId 不設定 FK；相簿刪除時由後端清理。</t>
  </si>
  <si>
    <t>留言板</t>
  </si>
  <si>
    <t>留言板主留言、置頂狀態、顯示名稱與內容。</t>
  </si>
  <si>
    <t>刪除主留言時硬刪 guestbook_replies。</t>
  </si>
  <si>
    <t>特定主留言底下的回覆。</t>
  </si>
  <si>
    <t>commentId 不設定 FK；主留言刪除時由後端清理。</t>
  </si>
  <si>
    <t>菜單</t>
  </si>
  <si>
    <t>主餐、甜點、飲品、套餐等菜單分類。</t>
  </si>
  <si>
    <t>刪除分類時由後端處理 menu_items。</t>
  </si>
  <si>
    <t>餐點名稱、描述、價格、圖片、分類與顯示排序。</t>
  </si>
  <si>
    <t>categoryId 不設定 FK；刪除品項時清理 menu_set_items。</t>
  </si>
  <si>
    <t>套餐名稱、價格、說明與啟用狀態。</t>
  </si>
  <si>
    <t>刪除套餐時硬刪 menu_set_items。</t>
  </si>
  <si>
    <t>套餐包含哪些現有餐點品項。</t>
  </si>
  <si>
    <t>setId、menuItemId 不設定 FK；由後端維持一致性。</t>
  </si>
  <si>
    <t>店舖動態</t>
  </si>
  <si>
    <t>店員預約狀態甘特圖資料。</t>
  </si>
  <si>
    <t>staffId 不設定 FK；保留 staffNameSnapshot 供硬刪除後歷史顯示。</t>
  </si>
  <si>
    <t>排行榜</t>
  </si>
  <si>
    <t>店員榜與消費榜共用資料。</t>
  </si>
  <si>
    <t>targetId 不設定 FK；displayNameSnapshot、avatarSnapshot 可保留歷史顯示。</t>
  </si>
  <si>
    <t>site_settings</t>
  </si>
  <si>
    <t>功能區：全站設定</t>
  </si>
  <si>
    <t>用途：儲存店鋪基本資訊、品牌文案與全站共用設定。</t>
  </si>
  <si>
    <t>PK / NOTNULL 使用 Y 標記</t>
  </si>
  <si>
    <t>不設定 FK</t>
  </si>
  <si>
    <t>刪除策略：硬刪除</t>
  </si>
  <si>
    <t>PK</t>
  </si>
  <si>
    <t>NOTNULL</t>
  </si>
  <si>
    <t>欄位名稱</t>
  </si>
  <si>
    <t>資料型態</t>
  </si>
  <si>
    <t>備註(欄位說明)</t>
  </si>
  <si>
    <t>Y</t>
  </si>
  <si>
    <t>ID</t>
  </si>
  <si>
    <t>VARCHAR(40)</t>
  </si>
  <si>
    <t>設定資料 ID，建議使用 UUID。</t>
  </si>
  <si>
    <t>SETTING_KEY</t>
  </si>
  <si>
    <t>VARCHAR(80)</t>
  </si>
  <si>
    <t>設定鍵，例如 shopProfile、socialLinks、businessHours。</t>
  </si>
  <si>
    <t>SETTING_VALUE</t>
  </si>
  <si>
    <t>JSON</t>
  </si>
  <si>
    <t>設定內容，依 settingKey 儲存結構化資料。</t>
  </si>
  <si>
    <t>DESCRIPTION</t>
  </si>
  <si>
    <t>VARCHAR(255)</t>
  </si>
  <si>
    <t>設定用途說明，方便後台或技術文件辨識。</t>
  </si>
  <si>
    <t>IS_ACTIVE</t>
  </si>
  <si>
    <t>BOOLEAN</t>
  </si>
  <si>
    <t>是否啟用此設定。</t>
  </si>
  <si>
    <t>CREATED_AT</t>
  </si>
  <si>
    <t>DATETIME</t>
  </si>
  <si>
    <t>建立時間。</t>
  </si>
  <si>
    <t>UPDATED_AT</t>
  </si>
  <si>
    <t>最後更新時間。</t>
  </si>
  <si>
    <t>navigation_items</t>
  </si>
  <si>
    <t>功能區：導覽</t>
  </si>
  <si>
    <t>用途：管理 Navbar 與 Footer 連結、排序與下拉項目。</t>
  </si>
  <si>
    <t>導覽項目 ID。</t>
  </si>
  <si>
    <t>LABEL</t>
  </si>
  <si>
    <t>顯示名稱，例如 首頁、佳餚名錄。</t>
  </si>
  <si>
    <t>ROUTE_PATH</t>
  </si>
  <si>
    <t>VARCHAR(120)</t>
  </si>
  <si>
    <t>前端路由，例如 /menu；若為純下拉父層可為空字串。</t>
  </si>
  <si>
    <t>PLACEMENT</t>
  </si>
  <si>
    <t>VARCHAR(20)</t>
  </si>
  <si>
    <t>顯示位置：navbar、footer、both。</t>
  </si>
  <si>
    <t>PARENT_ITEM_ID</t>
  </si>
  <si>
    <t>父層項目 ID，用於榮譽殿堂這類下拉選單；不設定 FK。</t>
  </si>
  <si>
    <t>SORT_ORDER</t>
  </si>
  <si>
    <t>INT</t>
  </si>
  <si>
    <t>排序，數字越小越前面。</t>
  </si>
  <si>
    <t>IS_DROPDOWN</t>
  </si>
  <si>
    <t>是否為下拉選單父層。</t>
  </si>
  <si>
    <t>IS_ENABLED</t>
  </si>
  <si>
    <t>是否顯示。</t>
  </si>
  <si>
    <t>home_event_carousels</t>
  </si>
  <si>
    <t>功能區：首頁輪播</t>
  </si>
  <si>
    <t>用途：首頁慶典情報輪播內容與活動快照。</t>
  </si>
  <si>
    <t>輪播項目 ID。</t>
  </si>
  <si>
    <t>EVENT_ID</t>
  </si>
  <si>
    <t>對應 events.id；不設定 FK，可為空代表純首頁輪播。</t>
  </si>
  <si>
    <t>TITLE_SNAPSHOT</t>
  </si>
  <si>
    <t>輪播標題快照。</t>
  </si>
  <si>
    <t>SUMMARY_SNAPSHOT</t>
  </si>
  <si>
    <t>輪播簡述快照。</t>
  </si>
  <si>
    <t>EVENT_TIME_SNAPSHOT</t>
  </si>
  <si>
    <t>輪播時間顯示文字快照。</t>
  </si>
  <si>
    <t>CTA_LABEL</t>
  </si>
  <si>
    <t>按鈕文字，例如 查看完整活動。</t>
  </si>
  <si>
    <t>輪播排序。</t>
  </si>
  <si>
    <t>是否顯示於首頁。</t>
  </si>
  <si>
    <t>shop_rules</t>
  </si>
  <si>
    <t>功能區：店內規則</t>
  </si>
  <si>
    <t>用途：首頁店內規則排卡資料。</t>
  </si>
  <si>
    <t>規則 ID。</t>
  </si>
  <si>
    <t>RULE_TEXT</t>
  </si>
  <si>
    <t>VARCHAR(500)</t>
  </si>
  <si>
    <t>規則文字內容。</t>
  </si>
  <si>
    <t>RULE_NOTE</t>
  </si>
  <si>
    <t>補充說明，可為空。</t>
  </si>
  <si>
    <t>顯示排序。</t>
  </si>
  <si>
    <t>pricing_rules</t>
  </si>
  <si>
    <t>功能區：消費規則</t>
  </si>
  <si>
    <t>用途：佳餚名錄上方的消費說明與計費規則。</t>
  </si>
  <si>
    <t>消費規則 ID。</t>
  </si>
  <si>
    <t>TITLE</t>
  </si>
  <si>
    <t>規則標題。</t>
  </si>
  <si>
    <t>規則說明文字。</t>
  </si>
  <si>
    <t>PRICE_TEXT</t>
  </si>
  <si>
    <t>價格或計費文字，例如 60 分鐘制、基本消費。</t>
  </si>
  <si>
    <t>staff_members</t>
  </si>
  <si>
    <t>功能區：店員</t>
  </si>
  <si>
    <t>用途：店員基本資料、展示卡與詳細 dialog 內容。</t>
  </si>
  <si>
    <t>店員 ID。</t>
  </si>
  <si>
    <t>DISPLAY_NAME</t>
  </si>
  <si>
    <t>VARCHAR(60)</t>
  </si>
  <si>
    <t>店員顯示名稱。</t>
  </si>
  <si>
    <t>NICKNAME</t>
  </si>
  <si>
    <t>暱稱或稱呼。</t>
  </si>
  <si>
    <t>AVATAR_URL</t>
  </si>
  <si>
    <t>頭像或展示圖片 URL。</t>
  </si>
  <si>
    <t>ROLE_TITLE</t>
  </si>
  <si>
    <t>角色職稱或介紹用標籤。</t>
  </si>
  <si>
    <t>SHORT_BIO</t>
  </si>
  <si>
    <t>卡片簡介。</t>
  </si>
  <si>
    <t>PROFILE_BIO</t>
  </si>
  <si>
    <t>TEXT</t>
  </si>
  <si>
    <t>詳細介紹文字。</t>
  </si>
  <si>
    <t>CURRENT_STATUS</t>
  </si>
  <si>
    <t>即時狀態，例如 available、reserved、offDuty。</t>
  </si>
  <si>
    <t>STATUS_TEXT</t>
  </si>
  <si>
    <t>狀態顯示文字。</t>
  </si>
  <si>
    <t>店員列表排序。</t>
  </si>
  <si>
    <t>是否仍在店員列表顯示。</t>
  </si>
  <si>
    <t>staff_services</t>
  </si>
  <si>
    <t>用途：店員個人特殊服務與說明文字。</t>
  </si>
  <si>
    <t>服務 ID。</t>
  </si>
  <si>
    <t>STAFF_ID</t>
  </si>
  <si>
    <t>所屬店員 ID；不設定 FK。</t>
  </si>
  <si>
    <t>SERVICE_NAME</t>
  </si>
  <si>
    <t>服務名稱。</t>
  </si>
  <si>
    <t>SERVICE_DESCRIPTION</t>
  </si>
  <si>
    <t>服務說明文字，用於店員 dialog。</t>
  </si>
  <si>
    <t>價格或備註文字。</t>
  </si>
  <si>
    <t>events</t>
  </si>
  <si>
    <t>功能區：活動</t>
  </si>
  <si>
    <t>用途：慶典情報頁與首頁輪播的活動主資料。</t>
  </si>
  <si>
    <t>活動 ID。</t>
  </si>
  <si>
    <t>活動標題。</t>
  </si>
  <si>
    <t>SUMMARY</t>
  </si>
  <si>
    <t>活動簡述。</t>
  </si>
  <si>
    <t>COVER_IMAGE_URL</t>
  </si>
  <si>
    <t>活動主視覺圖片 URL。</t>
  </si>
  <si>
    <t>STARTS_AT</t>
  </si>
  <si>
    <t>活動開始時間。</t>
  </si>
  <si>
    <t>ENDS_AT</t>
  </si>
  <si>
    <t>活動結束時間。</t>
  </si>
  <si>
    <t>STATUS</t>
  </si>
  <si>
    <t>活動狀態，例如 scheduled、active、ended。</t>
  </si>
  <si>
    <t>LOCATION_TEXT</t>
  </si>
  <si>
    <t>活動地點顯示文字。</t>
  </si>
  <si>
    <t>DETAIL_CONTENT</t>
  </si>
  <si>
    <t>活動詳細內容，可供 EventModal 顯示。</t>
  </si>
  <si>
    <t>NOTICE_CONTENT</t>
  </si>
  <si>
    <t>注意事項或補充說明。</t>
  </si>
  <si>
    <t>活動列表排序。</t>
  </si>
  <si>
    <t>IS_PUBLISHED</t>
  </si>
  <si>
    <t>是否公開顯示。</t>
  </si>
  <si>
    <t>gallery_albums</t>
  </si>
  <si>
    <t>功能區：相簿</t>
  </si>
  <si>
    <t>用途：留聲機 / 相簿分類資料。</t>
  </si>
  <si>
    <t>相簿 ID。</t>
  </si>
  <si>
    <t>ALBUM_TITLE</t>
  </si>
  <si>
    <t>VARCHAR(100)</t>
  </si>
  <si>
    <t>相簿名稱。</t>
  </si>
  <si>
    <t>ALBUM_DESCRIPTION</t>
  </si>
  <si>
    <t>相簿描述。</t>
  </si>
  <si>
    <t>封面圖片 URL。</t>
  </si>
  <si>
    <t>相簿排序。</t>
  </si>
  <si>
    <t>gallery_items</t>
  </si>
  <si>
    <t>用途：相簿中的圖片或媒體項目。</t>
  </si>
  <si>
    <t>相簿項目 ID。</t>
  </si>
  <si>
    <t>ALBUM_ID</t>
  </si>
  <si>
    <t>所屬相簿 ID；不設定 FK。</t>
  </si>
  <si>
    <t>IMAGE_URL</t>
  </si>
  <si>
    <t>圖片 URL。</t>
  </si>
  <si>
    <t>THUMBNAIL_URL</t>
  </si>
  <si>
    <t>縮圖 URL。</t>
  </si>
  <si>
    <t>圖片標題。</t>
  </si>
  <si>
    <t>CAPTION</t>
  </si>
  <si>
    <t>圖片說明。</t>
  </si>
  <si>
    <t>SHOT_AT</t>
  </si>
  <si>
    <t>拍攝或活動時間。</t>
  </si>
  <si>
    <t>guestbook_comments</t>
  </si>
  <si>
    <t>功能區：留言板</t>
  </si>
  <si>
    <t>用途：留言板主留言。</t>
  </si>
  <si>
    <t>留言 ID。</t>
  </si>
  <si>
    <t>留言者顯示名稱。</t>
  </si>
  <si>
    <t>USER_TOKEN</t>
  </si>
  <si>
    <t>Demo 登入或前端識別用 token，可為空。</t>
  </si>
  <si>
    <t>CONTENT</t>
  </si>
  <si>
    <t>留言內容。</t>
  </si>
  <si>
    <t>IS_PINNED</t>
  </si>
  <si>
    <t>是否置頂留言。</t>
  </si>
  <si>
    <t>IS_VISIBLE</t>
  </si>
  <si>
    <t>置頂或人工排序用。</t>
  </si>
  <si>
    <t>guestbook_replies</t>
  </si>
  <si>
    <t>用途：留言板特定留言底下的回覆。</t>
  </si>
  <si>
    <t>回覆 ID。</t>
  </si>
  <si>
    <t>COMMENT_ID</t>
  </si>
  <si>
    <t>所屬主留言 ID；不設定 FK。</t>
  </si>
  <si>
    <t>回覆者顯示名稱。</t>
  </si>
  <si>
    <t>回覆內容。</t>
  </si>
  <si>
    <t>menu_categories</t>
  </si>
  <si>
    <t>功能區：菜單</t>
  </si>
  <si>
    <t>用途：菜單品項分類。</t>
  </si>
  <si>
    <t>菜單分類 ID。</t>
  </si>
  <si>
    <t>CATEGORY_NAME</t>
  </si>
  <si>
    <t>分類名稱，例如 主餐、甜點、飲品、套餐。</t>
  </si>
  <si>
    <t>CATEGORY_DESCRIPTION</t>
  </si>
  <si>
    <t>分類說明。</t>
  </si>
  <si>
    <t>menu_items</t>
  </si>
  <si>
    <t>用途：主餐、甜點、飲品等單品資料。</t>
  </si>
  <si>
    <t>餐點品項 ID。</t>
  </si>
  <si>
    <t>CATEGORY_ID</t>
  </si>
  <si>
    <t>所屬分類 ID；不設定 FK。</t>
  </si>
  <si>
    <t>ITEM_NAME</t>
  </si>
  <si>
    <t>餐點名稱。</t>
  </si>
  <si>
    <t>ITEM_DESCRIPTION</t>
  </si>
  <si>
    <t>餐點描述。</t>
  </si>
  <si>
    <t>PRICE</t>
  </si>
  <si>
    <t>價格，建議以整數儲存遊戲幣或點數。</t>
  </si>
  <si>
    <t>餐點圖片 URL，可為假圖服務連結。</t>
  </si>
  <si>
    <t>TAGS</t>
  </si>
  <si>
    <t>標籤，例如 人氣、推薦、限定。</t>
  </si>
  <si>
    <t>分類內排序。</t>
  </si>
  <si>
    <t>IS_AVAILABLE</t>
  </si>
  <si>
    <t>是否供應。</t>
  </si>
  <si>
    <t>menu_sets</t>
  </si>
  <si>
    <t>用途：套餐主資料。</t>
  </si>
  <si>
    <t>套餐 ID。</t>
  </si>
  <si>
    <t>SET_NAME</t>
  </si>
  <si>
    <t>套餐名稱。</t>
  </si>
  <si>
    <t>SET_DESCRIPTION</t>
  </si>
  <si>
    <t>套餐描述。</t>
  </si>
  <si>
    <t>SET_PRICE</t>
  </si>
  <si>
    <t>套餐價格。</t>
  </si>
  <si>
    <t>套餐圖片 URL。</t>
  </si>
  <si>
    <t>menu_set_items</t>
  </si>
  <si>
    <t>用途：套餐與單品之間的組合明細。</t>
  </si>
  <si>
    <t>套餐明細 ID。</t>
  </si>
  <si>
    <t>SET_ID</t>
  </si>
  <si>
    <t>所屬套餐 ID；不設定 FK。</t>
  </si>
  <si>
    <t>MENU_ITEM_ID</t>
  </si>
  <si>
    <t>包含的餐點品項 ID；不設定 FK。</t>
  </si>
  <si>
    <t>ITEM_ROLE</t>
  </si>
  <si>
    <t>套餐中的角色，例如 main、dessert、drink。</t>
  </si>
  <si>
    <t>QUANTITY</t>
  </si>
  <si>
    <t>數量。</t>
  </si>
  <si>
    <t>套餐內顯示排序。</t>
  </si>
  <si>
    <t>staff_reservations</t>
  </si>
  <si>
    <t>功能區：店舖動態</t>
  </si>
  <si>
    <t>用途：店員預約狀態甘特圖資料。</t>
  </si>
  <si>
    <t>預約 ID。</t>
  </si>
  <si>
    <t>店員 ID；不設定 FK。</t>
  </si>
  <si>
    <t>STAFF_NAME_SNAPSHOT</t>
  </si>
  <si>
    <t>店員名稱快照，避免硬刪店員後歷史資料失效。</t>
  </si>
  <si>
    <t>STAFF_AVATAR_SNAPSHOT</t>
  </si>
  <si>
    <t>店員頭像快照。</t>
  </si>
  <si>
    <t>RESERVATION_STATUS</t>
  </si>
  <si>
    <t>預約狀態，例如 open、reserved、completed、blocked。</t>
  </si>
  <si>
    <t>預約開始時間。</t>
  </si>
  <si>
    <t>預約結束時間。</t>
  </si>
  <si>
    <t>SERVICE_LABEL</t>
  </si>
  <si>
    <t>服務或時段顯示文字，不包含客人姓名。</t>
  </si>
  <si>
    <t>NOTE</t>
  </si>
  <si>
    <t>內部備註或顯示補充。</t>
  </si>
  <si>
    <t>rankings</t>
  </si>
  <si>
    <t>功能區：排行榜</t>
  </si>
  <si>
    <t>用途：店員榜與消費榜共用排行資料。</t>
  </si>
  <si>
    <t>排行資料 ID。</t>
  </si>
  <si>
    <t>RANKING_TYPE</t>
  </si>
  <si>
    <t>排行類型：staffRanking、monetaryRanking。</t>
  </si>
  <si>
    <t>TARGET_ID</t>
  </si>
  <si>
    <t>對應店員或顧客識別 ID；不設定 FK。</t>
  </si>
  <si>
    <t>DISPLAY_NAME_SNAPSHOT</t>
  </si>
  <si>
    <t>顯示名稱快照。</t>
  </si>
  <si>
    <t>AVATAR_SNAPSHOT</t>
  </si>
  <si>
    <t>頭像快照。</t>
  </si>
  <si>
    <t>TITLE_BADGE</t>
  </si>
  <si>
    <t>稱號或徽章文字。</t>
  </si>
  <si>
    <t>RANK_POSITION</t>
  </si>
  <si>
    <t>名次。</t>
  </si>
  <si>
    <t>SCORE_VALUE</t>
  </si>
  <si>
    <t>排行分數、消費額或統計值。</t>
  </si>
  <si>
    <t>SCORE_LABEL</t>
  </si>
  <si>
    <t>分數顯示文字，例如 999,999 Gil。</t>
  </si>
  <si>
    <t>PERIOD_LABEL</t>
  </si>
  <si>
    <t>排行期間，例如 2026-07。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</si>
</sst>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32172B"/>
      <name val="Carlito"/>
    </font>
    <font>
      <b/>
      <sz val="11.0"/>
      <color rgb="FF221827"/>
      <name val="Carlito"/>
    </font>
    <font>
      <sz val="11.0"/>
      <color rgb="FF221827"/>
      <name val="Carlito"/>
    </font>
    <font>
      <u/>
      <sz val="11.0"/>
      <color rgb="FFB41F72"/>
      <name val="Carlito"/>
    </font>
    <font>
      <sz val="11.0"/>
      <color rgb="FF32172B"/>
      <name val="Carlito"/>
    </font>
    <font>
      <b/>
      <u/>
      <sz val="11.0"/>
      <color rgb="FFFFFFFF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7121F"/>
        <bgColor rgb="FF17121F"/>
      </patternFill>
    </fill>
    <fill>
      <patternFill patternType="solid">
        <fgColor rgb="FFFFF0F8"/>
        <bgColor rgb="FFFFF0F8"/>
      </patternFill>
    </fill>
    <fill>
      <patternFill patternType="solid">
        <fgColor rgb="FFFBF7FC"/>
        <bgColor rgb="FFFBF7FC"/>
      </patternFill>
    </fill>
    <fill>
      <patternFill patternType="solid">
        <fgColor rgb="FFB41F72"/>
        <bgColor rgb="FFB41F72"/>
      </patternFill>
    </fill>
  </fills>
  <borders count="10">
    <border/>
    <border>
      <left style="thin">
        <color rgb="FFE4D7E5"/>
      </left>
      <right style="thin">
        <color rgb="FFE4D7E5"/>
      </right>
      <top style="thin">
        <color rgb="FFE4D7E5"/>
      </top>
      <bottom style="thin">
        <color rgb="FFE4D7E5"/>
      </bottom>
    </border>
    <border>
      <left style="thin">
        <color rgb="FFC9A6C6"/>
      </left>
      <right style="thin">
        <color rgb="FFE4D7E5"/>
      </right>
      <top style="thin">
        <color rgb="FFC9A6C6"/>
      </top>
      <bottom style="thin">
        <color rgb="FFE4D7E5"/>
      </bottom>
    </border>
    <border>
      <left style="thin">
        <color rgb="FFE4D7E5"/>
      </left>
      <right style="thin">
        <color rgb="FFE4D7E5"/>
      </right>
      <top style="thin">
        <color rgb="FFC9A6C6"/>
      </top>
      <bottom style="thin">
        <color rgb="FFE4D7E5"/>
      </bottom>
    </border>
    <border>
      <left style="thin">
        <color rgb="FFE4D7E5"/>
      </left>
      <right style="thin">
        <color rgb="FFC9A6C6"/>
      </right>
      <top style="thin">
        <color rgb="FFC9A6C6"/>
      </top>
      <bottom style="thin">
        <color rgb="FFE4D7E5"/>
      </bottom>
    </border>
    <border>
      <left style="thin">
        <color rgb="FFC9A6C6"/>
      </left>
      <right style="thin">
        <color rgb="FFE4D7E5"/>
      </right>
      <top style="thin">
        <color rgb="FFE4D7E5"/>
      </top>
      <bottom style="thin">
        <color rgb="FFE4D7E5"/>
      </bottom>
    </border>
    <border>
      <left style="thin">
        <color rgb="FFE4D7E5"/>
      </left>
      <right style="thin">
        <color rgb="FFC9A6C6"/>
      </right>
      <top style="thin">
        <color rgb="FFE4D7E5"/>
      </top>
      <bottom style="thin">
        <color rgb="FFE4D7E5"/>
      </bottom>
    </border>
    <border>
      <left style="thin">
        <color rgb="FFC9A6C6"/>
      </left>
      <right style="thin">
        <color rgb="FFE4D7E5"/>
      </right>
      <top style="thin">
        <color rgb="FFE4D7E5"/>
      </top>
      <bottom style="thin">
        <color rgb="FFC9A6C6"/>
      </bottom>
    </border>
    <border>
      <left style="thin">
        <color rgb="FFE4D7E5"/>
      </left>
      <right style="thin">
        <color rgb="FFE4D7E5"/>
      </right>
      <top style="thin">
        <color rgb="FFE4D7E5"/>
      </top>
      <bottom style="thin">
        <color rgb="FFC9A6C6"/>
      </bottom>
    </border>
    <border>
      <left style="thin">
        <color rgb="FFE4D7E5"/>
      </left>
      <right style="thin">
        <color rgb="FFC9A6C6"/>
      </right>
      <top style="thin">
        <color rgb="FFE4D7E5"/>
      </top>
      <bottom style="thin">
        <color rgb="FFC9A6C6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Fill="1" applyFont="1"/>
    <xf borderId="1" fillId="4" fontId="3" numFmtId="0" xfId="0" applyAlignment="1" applyBorder="1" applyFill="1" applyFont="1">
      <alignment horizontal="center" shrinkToFit="0" vertical="top" wrapText="1"/>
    </xf>
    <xf borderId="1" fillId="4" fontId="4" numFmtId="0" xfId="0" applyAlignment="1" applyBorder="1" applyFont="1">
      <alignment shrinkToFit="0" vertical="top" wrapText="1"/>
    </xf>
    <xf borderId="1" fillId="4" fontId="5" numFmtId="0" xfId="0" applyAlignment="1" applyBorder="1" applyFont="1">
      <alignment shrinkToFit="0" vertical="top" wrapText="1"/>
    </xf>
    <xf borderId="0" fillId="3" fontId="6" numFmtId="0" xfId="0" applyAlignment="1" applyFont="1">
      <alignment shrinkToFit="0" wrapText="1"/>
    </xf>
    <xf borderId="0" fillId="5" fontId="7" numFmtId="0" xfId="0" applyAlignment="1" applyFill="1" applyFont="1">
      <alignment horizontal="center" vertical="center"/>
    </xf>
    <xf borderId="2" fillId="4" fontId="3" numFmtId="0" xfId="0" applyAlignment="1" applyBorder="1" applyFont="1">
      <alignment horizontal="center" shrinkToFit="0" vertical="top" wrapText="1"/>
    </xf>
    <xf borderId="3" fillId="4" fontId="3" numFmtId="0" xfId="0" applyAlignment="1" applyBorder="1" applyFont="1">
      <alignment horizontal="center" shrinkToFit="0" vertical="top" wrapText="1"/>
    </xf>
    <xf borderId="4" fillId="4" fontId="3" numFmtId="0" xfId="0" applyAlignment="1" applyBorder="1" applyFont="1">
      <alignment horizontal="center" shrinkToFit="0" vertical="top" wrapText="1"/>
    </xf>
    <xf borderId="5" fillId="4" fontId="4" numFmtId="0" xfId="0" applyAlignment="1" applyBorder="1" applyFont="1">
      <alignment horizontal="center" shrinkToFit="0" vertical="top" wrapText="1"/>
    </xf>
    <xf borderId="1" fillId="4" fontId="4" numFmtId="0" xfId="0" applyAlignment="1" applyBorder="1" applyFont="1">
      <alignment horizontal="center" shrinkToFit="0" vertical="top" wrapText="1"/>
    </xf>
    <xf borderId="1" fillId="4" fontId="4" numFmtId="0" xfId="0" applyAlignment="1" applyBorder="1" applyFont="1">
      <alignment horizontal="left" shrinkToFit="0" vertical="top" wrapText="1"/>
    </xf>
    <xf borderId="1" fillId="4" fontId="4" numFmtId="0" xfId="0" applyAlignment="1" applyBorder="1" applyFont="1">
      <alignment horizontal="left" readingOrder="0" shrinkToFit="0" vertical="top" wrapText="1"/>
    </xf>
    <xf borderId="6" fillId="4" fontId="4" numFmtId="0" xfId="0" applyAlignment="1" applyBorder="1" applyFont="1">
      <alignment horizontal="left" shrinkToFit="0" vertical="top" wrapText="1"/>
    </xf>
    <xf borderId="7" fillId="4" fontId="4" numFmtId="0" xfId="0" applyAlignment="1" applyBorder="1" applyFont="1">
      <alignment horizontal="center" shrinkToFit="0" vertical="top" wrapText="1"/>
    </xf>
    <xf borderId="8" fillId="4" fontId="4" numFmtId="0" xfId="0" applyAlignment="1" applyBorder="1" applyFont="1">
      <alignment horizontal="center" shrinkToFit="0" vertical="top" wrapText="1"/>
    </xf>
    <xf borderId="8" fillId="4" fontId="4" numFmtId="0" xfId="0" applyAlignment="1" applyBorder="1" applyFont="1">
      <alignment horizontal="left" shrinkToFit="0" vertical="top" wrapText="1"/>
    </xf>
    <xf borderId="9" fillId="4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5"/>
    <col customWidth="1" min="2" max="2" width="21.13"/>
    <col customWidth="1" min="3" max="3" width="47.75"/>
    <col customWidth="1" min="4" max="4" width="57.75"/>
    <col customWidth="1" min="5" max="26" width="8.63"/>
  </cols>
  <sheetData>
    <row r="1" ht="25.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4" ht="31.5" customHeight="1">
      <c r="A4" s="3" t="s">
        <v>5</v>
      </c>
      <c r="B4" s="3" t="s">
        <v>6</v>
      </c>
      <c r="C4" s="3" t="s">
        <v>7</v>
      </c>
      <c r="D4" s="3" t="s">
        <v>8</v>
      </c>
    </row>
    <row r="5" ht="31.5" customHeight="1">
      <c r="A5" s="4" t="s">
        <v>9</v>
      </c>
      <c r="B5" s="5" t="str">
        <f>HYPERLINK("#'site_settings'!A1","site_settings")</f>
        <v>site_settings</v>
      </c>
      <c r="C5" s="4" t="s">
        <v>10</v>
      </c>
      <c r="D5" s="4" t="s">
        <v>11</v>
      </c>
    </row>
    <row r="6" ht="31.5" customHeight="1">
      <c r="A6" s="4" t="s">
        <v>12</v>
      </c>
      <c r="B6" s="5" t="str">
        <f>HYPERLINK("#'navigation_items'!A1","navigation_items")</f>
        <v>navigation_items</v>
      </c>
      <c r="C6" s="4" t="s">
        <v>13</v>
      </c>
      <c r="D6" s="4" t="s">
        <v>14</v>
      </c>
    </row>
    <row r="7" ht="31.5" customHeight="1">
      <c r="A7" s="4" t="s">
        <v>15</v>
      </c>
      <c r="B7" s="5" t="str">
        <f>HYPERLINK("#'home_event_carousels'!A1","home_event_carousels")</f>
        <v>home_event_carousels</v>
      </c>
      <c r="C7" s="4" t="s">
        <v>16</v>
      </c>
      <c r="D7" s="4" t="s">
        <v>17</v>
      </c>
    </row>
    <row r="8" ht="31.5" customHeight="1">
      <c r="A8" s="4" t="s">
        <v>18</v>
      </c>
      <c r="B8" s="5" t="str">
        <f>HYPERLINK("#'shop_rules'!A1","shop_rules")</f>
        <v>shop_rules</v>
      </c>
      <c r="C8" s="4" t="s">
        <v>19</v>
      </c>
      <c r="D8" s="4" t="s">
        <v>20</v>
      </c>
    </row>
    <row r="9" ht="31.5" customHeight="1">
      <c r="A9" s="4" t="s">
        <v>21</v>
      </c>
      <c r="B9" s="5" t="str">
        <f>HYPERLINK("#'pricing_rules'!A1","pricing_rules")</f>
        <v>pricing_rules</v>
      </c>
      <c r="C9" s="4" t="s">
        <v>22</v>
      </c>
      <c r="D9" s="4" t="s">
        <v>20</v>
      </c>
    </row>
    <row r="10" ht="31.5" customHeight="1">
      <c r="A10" s="4" t="s">
        <v>23</v>
      </c>
      <c r="B10" s="5" t="str">
        <f>HYPERLINK("#'staff_members'!A1","staff_members")</f>
        <v>staff_members</v>
      </c>
      <c r="C10" s="4" t="s">
        <v>24</v>
      </c>
      <c r="D10" s="4" t="s">
        <v>25</v>
      </c>
    </row>
    <row r="11" ht="31.5" customHeight="1">
      <c r="A11" s="4" t="s">
        <v>23</v>
      </c>
      <c r="B11" s="5" t="str">
        <f>HYPERLINK("#'staff_services'!A1","staff_services")</f>
        <v>staff_services</v>
      </c>
      <c r="C11" s="4" t="s">
        <v>26</v>
      </c>
      <c r="D11" s="4" t="s">
        <v>27</v>
      </c>
    </row>
    <row r="12" ht="31.5" customHeight="1">
      <c r="A12" s="4" t="s">
        <v>28</v>
      </c>
      <c r="B12" s="5" t="str">
        <f>HYPERLINK("#'events'!A1","events")</f>
        <v>events</v>
      </c>
      <c r="C12" s="4" t="s">
        <v>29</v>
      </c>
      <c r="D12" s="4" t="s">
        <v>30</v>
      </c>
    </row>
    <row r="13" ht="31.5" customHeight="1">
      <c r="A13" s="4" t="s">
        <v>31</v>
      </c>
      <c r="B13" s="5" t="str">
        <f>HYPERLINK("#'gallery_albums'!A1","gallery_albums")</f>
        <v>gallery_albums</v>
      </c>
      <c r="C13" s="4" t="s">
        <v>32</v>
      </c>
      <c r="D13" s="4" t="s">
        <v>33</v>
      </c>
    </row>
    <row r="14" ht="31.5" customHeight="1">
      <c r="A14" s="4" t="s">
        <v>31</v>
      </c>
      <c r="B14" s="5" t="str">
        <f>HYPERLINK("#'gallery_items'!A1","gallery_items")</f>
        <v>gallery_items</v>
      </c>
      <c r="C14" s="4" t="s">
        <v>34</v>
      </c>
      <c r="D14" s="4" t="s">
        <v>35</v>
      </c>
    </row>
    <row r="15" ht="31.5" customHeight="1">
      <c r="A15" s="4" t="s">
        <v>36</v>
      </c>
      <c r="B15" s="5" t="str">
        <f>HYPERLINK("#'guestbook_comments'!A1","guestbook_comments")</f>
        <v>guestbook_comments</v>
      </c>
      <c r="C15" s="4" t="s">
        <v>37</v>
      </c>
      <c r="D15" s="4" t="s">
        <v>38</v>
      </c>
    </row>
    <row r="16" ht="31.5" customHeight="1">
      <c r="A16" s="4" t="s">
        <v>36</v>
      </c>
      <c r="B16" s="5" t="str">
        <f>HYPERLINK("#'guestbook_replies'!A1","guestbook_replies")</f>
        <v>guestbook_replies</v>
      </c>
      <c r="C16" s="4" t="s">
        <v>39</v>
      </c>
      <c r="D16" s="4" t="s">
        <v>40</v>
      </c>
    </row>
    <row r="17" ht="31.5" customHeight="1">
      <c r="A17" s="4" t="s">
        <v>41</v>
      </c>
      <c r="B17" s="5" t="str">
        <f>HYPERLINK("#'menu_categories'!A1","menu_categories")</f>
        <v>menu_categories</v>
      </c>
      <c r="C17" s="4" t="s">
        <v>42</v>
      </c>
      <c r="D17" s="4" t="s">
        <v>43</v>
      </c>
    </row>
    <row r="18" ht="31.5" customHeight="1">
      <c r="A18" s="4" t="s">
        <v>41</v>
      </c>
      <c r="B18" s="5" t="str">
        <f>HYPERLINK("#'menu_items'!A1","menu_items")</f>
        <v>menu_items</v>
      </c>
      <c r="C18" s="4" t="s">
        <v>44</v>
      </c>
      <c r="D18" s="4" t="s">
        <v>45</v>
      </c>
    </row>
    <row r="19" ht="31.5" customHeight="1">
      <c r="A19" s="4" t="s">
        <v>41</v>
      </c>
      <c r="B19" s="5" t="str">
        <f>HYPERLINK("#'menu_sets'!A1","menu_sets")</f>
        <v>menu_sets</v>
      </c>
      <c r="C19" s="4" t="s">
        <v>46</v>
      </c>
      <c r="D19" s="4" t="s">
        <v>47</v>
      </c>
    </row>
    <row r="20" ht="31.5" customHeight="1">
      <c r="A20" s="4" t="s">
        <v>41</v>
      </c>
      <c r="B20" s="5" t="str">
        <f>HYPERLINK("#'menu_set_items'!A1","menu_set_items")</f>
        <v>menu_set_items</v>
      </c>
      <c r="C20" s="4" t="s">
        <v>48</v>
      </c>
      <c r="D20" s="4" t="s">
        <v>49</v>
      </c>
    </row>
    <row r="21" ht="31.5" customHeight="1">
      <c r="A21" s="4" t="s">
        <v>50</v>
      </c>
      <c r="B21" s="5" t="str">
        <f>HYPERLINK("#'staff_reservations'!A1","staff_reservations")</f>
        <v>staff_reservations</v>
      </c>
      <c r="C21" s="4" t="s">
        <v>51</v>
      </c>
      <c r="D21" s="4" t="s">
        <v>52</v>
      </c>
    </row>
    <row r="22" ht="31.5" customHeight="1">
      <c r="A22" s="4" t="s">
        <v>53</v>
      </c>
      <c r="B22" s="5" t="str">
        <f>HYPERLINK("#'rankings'!A1","rankings")</f>
        <v>rankings</v>
      </c>
      <c r="C22" s="4" t="s">
        <v>54</v>
      </c>
      <c r="D22" s="4" t="s">
        <v>55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56</v>
      </c>
    </row>
    <row r="2">
      <c r="A2" s="6" t="s">
        <v>57</v>
      </c>
      <c r="B2" s="6" t="s">
        <v>58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4" t="s">
        <v>69</v>
      </c>
      <c r="E5" s="15" t="s">
        <v>70</v>
      </c>
    </row>
    <row r="6" ht="24.0" customHeight="1">
      <c r="A6" s="11"/>
      <c r="B6" s="12" t="s">
        <v>67</v>
      </c>
      <c r="C6" s="13" t="s">
        <v>71</v>
      </c>
      <c r="D6" s="13" t="s">
        <v>72</v>
      </c>
      <c r="E6" s="15" t="s">
        <v>73</v>
      </c>
    </row>
    <row r="7" ht="24.0" customHeight="1">
      <c r="A7" s="11"/>
      <c r="B7" s="12" t="s">
        <v>67</v>
      </c>
      <c r="C7" s="13" t="s">
        <v>74</v>
      </c>
      <c r="D7" s="13" t="s">
        <v>75</v>
      </c>
      <c r="E7" s="15" t="s">
        <v>76</v>
      </c>
    </row>
    <row r="8" ht="24.0" customHeight="1">
      <c r="A8" s="11"/>
      <c r="B8" s="12"/>
      <c r="C8" s="13" t="s">
        <v>77</v>
      </c>
      <c r="D8" s="13" t="s">
        <v>78</v>
      </c>
      <c r="E8" s="15" t="s">
        <v>79</v>
      </c>
    </row>
    <row r="9" ht="24.0" customHeight="1">
      <c r="A9" s="11"/>
      <c r="B9" s="12" t="s">
        <v>67</v>
      </c>
      <c r="C9" s="13" t="s">
        <v>80</v>
      </c>
      <c r="D9" s="13" t="s">
        <v>81</v>
      </c>
      <c r="E9" s="15" t="s">
        <v>82</v>
      </c>
    </row>
    <row r="10" ht="24.0" customHeight="1">
      <c r="A10" s="11"/>
      <c r="B10" s="12" t="s">
        <v>67</v>
      </c>
      <c r="C10" s="13" t="s">
        <v>83</v>
      </c>
      <c r="D10" s="13" t="s">
        <v>84</v>
      </c>
      <c r="E10" s="15" t="s">
        <v>85</v>
      </c>
    </row>
    <row r="11" ht="24.0" customHeight="1">
      <c r="A11" s="16"/>
      <c r="B11" s="17" t="s">
        <v>67</v>
      </c>
      <c r="C11" s="18" t="s">
        <v>86</v>
      </c>
      <c r="D11" s="18" t="s">
        <v>84</v>
      </c>
      <c r="E11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88</v>
      </c>
    </row>
    <row r="2">
      <c r="A2" s="6" t="s">
        <v>89</v>
      </c>
      <c r="B2" s="6" t="s">
        <v>90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4" t="s">
        <v>69</v>
      </c>
      <c r="E5" s="15" t="s">
        <v>91</v>
      </c>
    </row>
    <row r="6" ht="24.0" customHeight="1">
      <c r="A6" s="11"/>
      <c r="B6" s="12" t="s">
        <v>67</v>
      </c>
      <c r="C6" s="13" t="s">
        <v>92</v>
      </c>
      <c r="D6" s="13" t="s">
        <v>69</v>
      </c>
      <c r="E6" s="15" t="s">
        <v>93</v>
      </c>
    </row>
    <row r="7" ht="24.0" customHeight="1">
      <c r="A7" s="11"/>
      <c r="B7" s="12" t="s">
        <v>67</v>
      </c>
      <c r="C7" s="13" t="s">
        <v>94</v>
      </c>
      <c r="D7" s="13" t="s">
        <v>95</v>
      </c>
      <c r="E7" s="15" t="s">
        <v>96</v>
      </c>
    </row>
    <row r="8" ht="24.0" customHeight="1">
      <c r="A8" s="11"/>
      <c r="B8" s="12" t="s">
        <v>67</v>
      </c>
      <c r="C8" s="13" t="s">
        <v>97</v>
      </c>
      <c r="D8" s="13" t="s">
        <v>98</v>
      </c>
      <c r="E8" s="15" t="s">
        <v>99</v>
      </c>
    </row>
    <row r="9" ht="24.0" customHeight="1">
      <c r="A9" s="11"/>
      <c r="B9" s="12"/>
      <c r="C9" s="13" t="s">
        <v>100</v>
      </c>
      <c r="D9" s="14" t="s">
        <v>69</v>
      </c>
      <c r="E9" s="15" t="s">
        <v>101</v>
      </c>
    </row>
    <row r="10" ht="24.0" customHeight="1">
      <c r="A10" s="11"/>
      <c r="B10" s="12" t="s">
        <v>67</v>
      </c>
      <c r="C10" s="13" t="s">
        <v>102</v>
      </c>
      <c r="D10" s="13" t="s">
        <v>103</v>
      </c>
      <c r="E10" s="15" t="s">
        <v>104</v>
      </c>
    </row>
    <row r="11" ht="24.0" customHeight="1">
      <c r="A11" s="11"/>
      <c r="B11" s="12" t="s">
        <v>67</v>
      </c>
      <c r="C11" s="13" t="s">
        <v>105</v>
      </c>
      <c r="D11" s="13" t="s">
        <v>81</v>
      </c>
      <c r="E11" s="15" t="s">
        <v>106</v>
      </c>
    </row>
    <row r="12" ht="24.0" customHeight="1">
      <c r="A12" s="11"/>
      <c r="B12" s="12" t="s">
        <v>67</v>
      </c>
      <c r="C12" s="13" t="s">
        <v>107</v>
      </c>
      <c r="D12" s="13" t="s">
        <v>81</v>
      </c>
      <c r="E12" s="15" t="s">
        <v>108</v>
      </c>
    </row>
    <row r="13" ht="24.0" customHeight="1">
      <c r="A13" s="11"/>
      <c r="B13" s="12" t="s">
        <v>67</v>
      </c>
      <c r="C13" s="13" t="s">
        <v>83</v>
      </c>
      <c r="D13" s="13" t="s">
        <v>84</v>
      </c>
      <c r="E13" s="15" t="s">
        <v>85</v>
      </c>
    </row>
    <row r="14" ht="24.0" customHeight="1">
      <c r="A14" s="16"/>
      <c r="B14" s="17" t="s">
        <v>67</v>
      </c>
      <c r="C14" s="18" t="s">
        <v>86</v>
      </c>
      <c r="D14" s="18" t="s">
        <v>84</v>
      </c>
      <c r="E14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109</v>
      </c>
    </row>
    <row r="2">
      <c r="A2" s="6" t="s">
        <v>110</v>
      </c>
      <c r="B2" s="6" t="s">
        <v>111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3" t="s">
        <v>69</v>
      </c>
      <c r="E5" s="15" t="s">
        <v>112</v>
      </c>
    </row>
    <row r="6" ht="24.0" customHeight="1">
      <c r="A6" s="11"/>
      <c r="B6" s="12"/>
      <c r="C6" s="13" t="s">
        <v>113</v>
      </c>
      <c r="D6" s="13" t="s">
        <v>69</v>
      </c>
      <c r="E6" s="15" t="s">
        <v>114</v>
      </c>
    </row>
    <row r="7" ht="24.0" customHeight="1">
      <c r="A7" s="11"/>
      <c r="B7" s="12" t="s">
        <v>67</v>
      </c>
      <c r="C7" s="13" t="s">
        <v>115</v>
      </c>
      <c r="D7" s="13" t="s">
        <v>95</v>
      </c>
      <c r="E7" s="15" t="s">
        <v>116</v>
      </c>
    </row>
    <row r="8" ht="24.0" customHeight="1">
      <c r="A8" s="11"/>
      <c r="B8" s="12" t="s">
        <v>67</v>
      </c>
      <c r="C8" s="13" t="s">
        <v>117</v>
      </c>
      <c r="D8" s="13" t="s">
        <v>78</v>
      </c>
      <c r="E8" s="15" t="s">
        <v>118</v>
      </c>
    </row>
    <row r="9" ht="24.0" customHeight="1">
      <c r="A9" s="11"/>
      <c r="B9" s="12"/>
      <c r="C9" s="13" t="s">
        <v>119</v>
      </c>
      <c r="D9" s="13" t="s">
        <v>72</v>
      </c>
      <c r="E9" s="15" t="s">
        <v>120</v>
      </c>
    </row>
    <row r="10" ht="24.0" customHeight="1">
      <c r="A10" s="11"/>
      <c r="B10" s="12"/>
      <c r="C10" s="13" t="s">
        <v>121</v>
      </c>
      <c r="D10" s="13" t="s">
        <v>69</v>
      </c>
      <c r="E10" s="15" t="s">
        <v>122</v>
      </c>
    </row>
    <row r="11" ht="24.0" customHeight="1">
      <c r="A11" s="11"/>
      <c r="B11" s="12" t="s">
        <v>67</v>
      </c>
      <c r="C11" s="13" t="s">
        <v>102</v>
      </c>
      <c r="D11" s="13" t="s">
        <v>103</v>
      </c>
      <c r="E11" s="15" t="s">
        <v>123</v>
      </c>
    </row>
    <row r="12" ht="24.0" customHeight="1">
      <c r="A12" s="11"/>
      <c r="B12" s="12" t="s">
        <v>67</v>
      </c>
      <c r="C12" s="13" t="s">
        <v>107</v>
      </c>
      <c r="D12" s="13" t="s">
        <v>81</v>
      </c>
      <c r="E12" s="15" t="s">
        <v>124</v>
      </c>
    </row>
    <row r="13" ht="24.0" customHeight="1">
      <c r="A13" s="11"/>
      <c r="B13" s="12" t="s">
        <v>67</v>
      </c>
      <c r="C13" s="13" t="s">
        <v>83</v>
      </c>
      <c r="D13" s="13" t="s">
        <v>84</v>
      </c>
      <c r="E13" s="15" t="s">
        <v>85</v>
      </c>
    </row>
    <row r="14" ht="24.0" customHeight="1">
      <c r="A14" s="16"/>
      <c r="B14" s="17" t="s">
        <v>67</v>
      </c>
      <c r="C14" s="18" t="s">
        <v>86</v>
      </c>
      <c r="D14" s="18" t="s">
        <v>84</v>
      </c>
      <c r="E14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125</v>
      </c>
    </row>
    <row r="2">
      <c r="A2" s="6" t="s">
        <v>126</v>
      </c>
      <c r="B2" s="6" t="s">
        <v>127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3" t="s">
        <v>69</v>
      </c>
      <c r="E5" s="15" t="s">
        <v>128</v>
      </c>
    </row>
    <row r="6" ht="24.0" customHeight="1">
      <c r="A6" s="11"/>
      <c r="B6" s="12" t="s">
        <v>67</v>
      </c>
      <c r="C6" s="13" t="s">
        <v>129</v>
      </c>
      <c r="D6" s="13" t="s">
        <v>130</v>
      </c>
      <c r="E6" s="15" t="s">
        <v>131</v>
      </c>
    </row>
    <row r="7" ht="24.0" customHeight="1">
      <c r="A7" s="11"/>
      <c r="B7" s="12"/>
      <c r="C7" s="13" t="s">
        <v>132</v>
      </c>
      <c r="D7" s="13" t="s">
        <v>78</v>
      </c>
      <c r="E7" s="15" t="s">
        <v>133</v>
      </c>
    </row>
    <row r="8" ht="24.0" customHeight="1">
      <c r="A8" s="11"/>
      <c r="B8" s="12" t="s">
        <v>67</v>
      </c>
      <c r="C8" s="13" t="s">
        <v>102</v>
      </c>
      <c r="D8" s="13" t="s">
        <v>103</v>
      </c>
      <c r="E8" s="15" t="s">
        <v>134</v>
      </c>
    </row>
    <row r="9" ht="24.0" customHeight="1">
      <c r="A9" s="11"/>
      <c r="B9" s="12" t="s">
        <v>67</v>
      </c>
      <c r="C9" s="13" t="s">
        <v>107</v>
      </c>
      <c r="D9" s="13" t="s">
        <v>81</v>
      </c>
      <c r="E9" s="15" t="s">
        <v>108</v>
      </c>
    </row>
    <row r="10" ht="24.0" customHeight="1">
      <c r="A10" s="11"/>
      <c r="B10" s="12" t="s">
        <v>67</v>
      </c>
      <c r="C10" s="13" t="s">
        <v>83</v>
      </c>
      <c r="D10" s="13" t="s">
        <v>84</v>
      </c>
      <c r="E10" s="15" t="s">
        <v>85</v>
      </c>
    </row>
    <row r="11" ht="24.0" customHeight="1">
      <c r="A11" s="16"/>
      <c r="B11" s="17" t="s">
        <v>67</v>
      </c>
      <c r="C11" s="18" t="s">
        <v>86</v>
      </c>
      <c r="D11" s="18" t="s">
        <v>84</v>
      </c>
      <c r="E11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135</v>
      </c>
    </row>
    <row r="2">
      <c r="A2" s="6" t="s">
        <v>136</v>
      </c>
      <c r="B2" s="6" t="s">
        <v>137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3" t="s">
        <v>69</v>
      </c>
      <c r="E5" s="15" t="s">
        <v>138</v>
      </c>
    </row>
    <row r="6" ht="24.0" customHeight="1">
      <c r="A6" s="11"/>
      <c r="B6" s="12" t="s">
        <v>67</v>
      </c>
      <c r="C6" s="13" t="s">
        <v>139</v>
      </c>
      <c r="D6" s="13" t="s">
        <v>72</v>
      </c>
      <c r="E6" s="15" t="s">
        <v>140</v>
      </c>
    </row>
    <row r="7" ht="24.0" customHeight="1">
      <c r="A7" s="11"/>
      <c r="B7" s="12" t="s">
        <v>67</v>
      </c>
      <c r="C7" s="13" t="s">
        <v>77</v>
      </c>
      <c r="D7" s="13" t="s">
        <v>130</v>
      </c>
      <c r="E7" s="15" t="s">
        <v>141</v>
      </c>
    </row>
    <row r="8" ht="24.0" customHeight="1">
      <c r="A8" s="11"/>
      <c r="B8" s="12"/>
      <c r="C8" s="13" t="s">
        <v>142</v>
      </c>
      <c r="D8" s="13" t="s">
        <v>72</v>
      </c>
      <c r="E8" s="15" t="s">
        <v>143</v>
      </c>
    </row>
    <row r="9" ht="24.0" customHeight="1">
      <c r="A9" s="11"/>
      <c r="B9" s="12" t="s">
        <v>67</v>
      </c>
      <c r="C9" s="13" t="s">
        <v>102</v>
      </c>
      <c r="D9" s="13" t="s">
        <v>103</v>
      </c>
      <c r="E9" s="15" t="s">
        <v>134</v>
      </c>
    </row>
    <row r="10" ht="24.0" customHeight="1">
      <c r="A10" s="11"/>
      <c r="B10" s="12" t="s">
        <v>67</v>
      </c>
      <c r="C10" s="13" t="s">
        <v>107</v>
      </c>
      <c r="D10" s="13" t="s">
        <v>81</v>
      </c>
      <c r="E10" s="15" t="s">
        <v>108</v>
      </c>
    </row>
    <row r="11" ht="24.0" customHeight="1">
      <c r="A11" s="11"/>
      <c r="B11" s="12" t="s">
        <v>67</v>
      </c>
      <c r="C11" s="13" t="s">
        <v>83</v>
      </c>
      <c r="D11" s="13" t="s">
        <v>84</v>
      </c>
      <c r="E11" s="15" t="s">
        <v>85</v>
      </c>
    </row>
    <row r="12" ht="24.0" customHeight="1">
      <c r="A12" s="16"/>
      <c r="B12" s="17" t="s">
        <v>67</v>
      </c>
      <c r="C12" s="18" t="s">
        <v>86</v>
      </c>
      <c r="D12" s="18" t="s">
        <v>84</v>
      </c>
      <c r="E12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144</v>
      </c>
    </row>
    <row r="2">
      <c r="A2" s="6" t="s">
        <v>145</v>
      </c>
      <c r="B2" s="6" t="s">
        <v>146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3" t="s">
        <v>69</v>
      </c>
      <c r="E5" s="15" t="s">
        <v>147</v>
      </c>
    </row>
    <row r="6" ht="24.0" customHeight="1">
      <c r="A6" s="11"/>
      <c r="B6" s="12" t="s">
        <v>67</v>
      </c>
      <c r="C6" s="13" t="s">
        <v>148</v>
      </c>
      <c r="D6" s="13" t="s">
        <v>149</v>
      </c>
      <c r="E6" s="15" t="s">
        <v>150</v>
      </c>
    </row>
    <row r="7" ht="24.0" customHeight="1">
      <c r="A7" s="11"/>
      <c r="B7" s="12"/>
      <c r="C7" s="13" t="s">
        <v>151</v>
      </c>
      <c r="D7" s="13" t="s">
        <v>149</v>
      </c>
      <c r="E7" s="15" t="s">
        <v>152</v>
      </c>
    </row>
    <row r="8" ht="24.0" customHeight="1">
      <c r="A8" s="11"/>
      <c r="B8" s="12"/>
      <c r="C8" s="13" t="s">
        <v>153</v>
      </c>
      <c r="D8" s="13" t="s">
        <v>130</v>
      </c>
      <c r="E8" s="15" t="s">
        <v>154</v>
      </c>
    </row>
    <row r="9" ht="24.0" customHeight="1">
      <c r="A9" s="11"/>
      <c r="B9" s="12"/>
      <c r="C9" s="13" t="s">
        <v>155</v>
      </c>
      <c r="D9" s="13" t="s">
        <v>72</v>
      </c>
      <c r="E9" s="15" t="s">
        <v>156</v>
      </c>
    </row>
    <row r="10" ht="24.0" customHeight="1">
      <c r="A10" s="11"/>
      <c r="B10" s="12"/>
      <c r="C10" s="13" t="s">
        <v>157</v>
      </c>
      <c r="D10" s="13" t="s">
        <v>78</v>
      </c>
      <c r="E10" s="15" t="s">
        <v>158</v>
      </c>
    </row>
    <row r="11" ht="24.0" customHeight="1">
      <c r="A11" s="11"/>
      <c r="B11" s="12"/>
      <c r="C11" s="13" t="s">
        <v>159</v>
      </c>
      <c r="D11" s="13" t="s">
        <v>160</v>
      </c>
      <c r="E11" s="15" t="s">
        <v>161</v>
      </c>
    </row>
    <row r="12" ht="24.0" customHeight="1">
      <c r="A12" s="11"/>
      <c r="B12" s="12" t="s">
        <v>67</v>
      </c>
      <c r="C12" s="13" t="s">
        <v>162</v>
      </c>
      <c r="D12" s="13" t="s">
        <v>98</v>
      </c>
      <c r="E12" s="15" t="s">
        <v>163</v>
      </c>
    </row>
    <row r="13" ht="24.0" customHeight="1">
      <c r="A13" s="11"/>
      <c r="B13" s="12"/>
      <c r="C13" s="13" t="s">
        <v>164</v>
      </c>
      <c r="D13" s="13" t="s">
        <v>69</v>
      </c>
      <c r="E13" s="15" t="s">
        <v>165</v>
      </c>
    </row>
    <row r="14" ht="24.0" customHeight="1">
      <c r="A14" s="11"/>
      <c r="B14" s="12" t="s">
        <v>67</v>
      </c>
      <c r="C14" s="13" t="s">
        <v>102</v>
      </c>
      <c r="D14" s="13" t="s">
        <v>103</v>
      </c>
      <c r="E14" s="15" t="s">
        <v>166</v>
      </c>
    </row>
    <row r="15" ht="24.0" customHeight="1">
      <c r="A15" s="11"/>
      <c r="B15" s="12" t="s">
        <v>67</v>
      </c>
      <c r="C15" s="13" t="s">
        <v>80</v>
      </c>
      <c r="D15" s="13" t="s">
        <v>81</v>
      </c>
      <c r="E15" s="15" t="s">
        <v>167</v>
      </c>
    </row>
    <row r="16" ht="24.0" customHeight="1">
      <c r="A16" s="11"/>
      <c r="B16" s="12" t="s">
        <v>67</v>
      </c>
      <c r="C16" s="13" t="s">
        <v>83</v>
      </c>
      <c r="D16" s="13" t="s">
        <v>84</v>
      </c>
      <c r="E16" s="15" t="s">
        <v>85</v>
      </c>
    </row>
    <row r="17" ht="24.0" customHeight="1">
      <c r="A17" s="16"/>
      <c r="B17" s="17" t="s">
        <v>67</v>
      </c>
      <c r="C17" s="18" t="s">
        <v>86</v>
      </c>
      <c r="D17" s="18" t="s">
        <v>84</v>
      </c>
      <c r="E17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168</v>
      </c>
    </row>
    <row r="2">
      <c r="A2" s="6" t="s">
        <v>145</v>
      </c>
      <c r="B2" s="6" t="s">
        <v>169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4" t="s">
        <v>69</v>
      </c>
      <c r="E5" s="15" t="s">
        <v>170</v>
      </c>
    </row>
    <row r="6" ht="24.0" customHeight="1">
      <c r="A6" s="11"/>
      <c r="B6" s="12" t="s">
        <v>67</v>
      </c>
      <c r="C6" s="13" t="s">
        <v>171</v>
      </c>
      <c r="D6" s="14" t="s">
        <v>69</v>
      </c>
      <c r="E6" s="15" t="s">
        <v>172</v>
      </c>
    </row>
    <row r="7" ht="24.0" customHeight="1">
      <c r="A7" s="11"/>
      <c r="B7" s="12" t="s">
        <v>67</v>
      </c>
      <c r="C7" s="13" t="s">
        <v>173</v>
      </c>
      <c r="D7" s="13" t="s">
        <v>72</v>
      </c>
      <c r="E7" s="15" t="s">
        <v>174</v>
      </c>
    </row>
    <row r="8" ht="24.0" customHeight="1">
      <c r="A8" s="11"/>
      <c r="B8" s="12" t="s">
        <v>67</v>
      </c>
      <c r="C8" s="13" t="s">
        <v>175</v>
      </c>
      <c r="D8" s="13" t="s">
        <v>130</v>
      </c>
      <c r="E8" s="15" t="s">
        <v>176</v>
      </c>
    </row>
    <row r="9" ht="24.0" customHeight="1">
      <c r="A9" s="11"/>
      <c r="B9" s="12"/>
      <c r="C9" s="13" t="s">
        <v>142</v>
      </c>
      <c r="D9" s="13" t="s">
        <v>72</v>
      </c>
      <c r="E9" s="15" t="s">
        <v>177</v>
      </c>
    </row>
    <row r="10" ht="24.0" customHeight="1">
      <c r="A10" s="11"/>
      <c r="B10" s="12" t="s">
        <v>67</v>
      </c>
      <c r="C10" s="13" t="s">
        <v>102</v>
      </c>
      <c r="D10" s="13" t="s">
        <v>103</v>
      </c>
      <c r="E10" s="15" t="s">
        <v>134</v>
      </c>
    </row>
    <row r="11" ht="24.0" customHeight="1">
      <c r="A11" s="11"/>
      <c r="B11" s="12" t="s">
        <v>67</v>
      </c>
      <c r="C11" s="13" t="s">
        <v>107</v>
      </c>
      <c r="D11" s="13" t="s">
        <v>81</v>
      </c>
      <c r="E11" s="15" t="s">
        <v>108</v>
      </c>
    </row>
    <row r="12" ht="24.0" customHeight="1">
      <c r="A12" s="11"/>
      <c r="B12" s="12" t="s">
        <v>67</v>
      </c>
      <c r="C12" s="13" t="s">
        <v>83</v>
      </c>
      <c r="D12" s="13" t="s">
        <v>84</v>
      </c>
      <c r="E12" s="15" t="s">
        <v>85</v>
      </c>
    </row>
    <row r="13" ht="24.0" customHeight="1">
      <c r="A13" s="16"/>
      <c r="B13" s="17" t="s">
        <v>67</v>
      </c>
      <c r="C13" s="18" t="s">
        <v>86</v>
      </c>
      <c r="D13" s="18" t="s">
        <v>84</v>
      </c>
      <c r="E13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178</v>
      </c>
    </row>
    <row r="2">
      <c r="A2" s="6" t="s">
        <v>179</v>
      </c>
      <c r="B2" s="6" t="s">
        <v>180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4" t="s">
        <v>69</v>
      </c>
      <c r="E5" s="15" t="s">
        <v>181</v>
      </c>
    </row>
    <row r="6" ht="24.0" customHeight="1">
      <c r="A6" s="11"/>
      <c r="B6" s="12" t="s">
        <v>67</v>
      </c>
      <c r="C6" s="13" t="s">
        <v>139</v>
      </c>
      <c r="D6" s="13" t="s">
        <v>95</v>
      </c>
      <c r="E6" s="15" t="s">
        <v>182</v>
      </c>
    </row>
    <row r="7" ht="24.0" customHeight="1">
      <c r="A7" s="11"/>
      <c r="B7" s="12" t="s">
        <v>67</v>
      </c>
      <c r="C7" s="13" t="s">
        <v>183</v>
      </c>
      <c r="D7" s="13" t="s">
        <v>78</v>
      </c>
      <c r="E7" s="15" t="s">
        <v>184</v>
      </c>
    </row>
    <row r="8" ht="24.0" customHeight="1">
      <c r="A8" s="11"/>
      <c r="B8" s="12"/>
      <c r="C8" s="13" t="s">
        <v>185</v>
      </c>
      <c r="D8" s="13" t="s">
        <v>130</v>
      </c>
      <c r="E8" s="15" t="s">
        <v>186</v>
      </c>
    </row>
    <row r="9" ht="24.0" customHeight="1">
      <c r="A9" s="11"/>
      <c r="B9" s="12" t="s">
        <v>67</v>
      </c>
      <c r="C9" s="13" t="s">
        <v>187</v>
      </c>
      <c r="D9" s="13" t="s">
        <v>84</v>
      </c>
      <c r="E9" s="15" t="s">
        <v>188</v>
      </c>
    </row>
    <row r="10" ht="24.0" customHeight="1">
      <c r="A10" s="11"/>
      <c r="B10" s="12" t="s">
        <v>67</v>
      </c>
      <c r="C10" s="13" t="s">
        <v>189</v>
      </c>
      <c r="D10" s="13" t="s">
        <v>84</v>
      </c>
      <c r="E10" s="15" t="s">
        <v>190</v>
      </c>
    </row>
    <row r="11" ht="24.0" customHeight="1">
      <c r="A11" s="11"/>
      <c r="B11" s="12" t="s">
        <v>67</v>
      </c>
      <c r="C11" s="13" t="s">
        <v>191</v>
      </c>
      <c r="D11" s="14" t="s">
        <v>98</v>
      </c>
      <c r="E11" s="15" t="s">
        <v>192</v>
      </c>
    </row>
    <row r="12" ht="24.0" customHeight="1">
      <c r="A12" s="11"/>
      <c r="B12" s="12"/>
      <c r="C12" s="13" t="s">
        <v>193</v>
      </c>
      <c r="D12" s="13" t="s">
        <v>95</v>
      </c>
      <c r="E12" s="15" t="s">
        <v>194</v>
      </c>
    </row>
    <row r="13" ht="24.0" customHeight="1">
      <c r="A13" s="11"/>
      <c r="B13" s="12"/>
      <c r="C13" s="13" t="s">
        <v>195</v>
      </c>
      <c r="D13" s="13" t="s">
        <v>160</v>
      </c>
      <c r="E13" s="15" t="s">
        <v>196</v>
      </c>
    </row>
    <row r="14" ht="24.0" customHeight="1">
      <c r="A14" s="11"/>
      <c r="B14" s="12"/>
      <c r="C14" s="13" t="s">
        <v>197</v>
      </c>
      <c r="D14" s="13" t="s">
        <v>160</v>
      </c>
      <c r="E14" s="15" t="s">
        <v>198</v>
      </c>
    </row>
    <row r="15" ht="24.0" customHeight="1">
      <c r="A15" s="11"/>
      <c r="B15" s="12" t="s">
        <v>67</v>
      </c>
      <c r="C15" s="13" t="s">
        <v>102</v>
      </c>
      <c r="D15" s="13" t="s">
        <v>103</v>
      </c>
      <c r="E15" s="15" t="s">
        <v>199</v>
      </c>
    </row>
    <row r="16" ht="24.0" customHeight="1">
      <c r="A16" s="11"/>
      <c r="B16" s="12" t="s">
        <v>67</v>
      </c>
      <c r="C16" s="13" t="s">
        <v>200</v>
      </c>
      <c r="D16" s="13" t="s">
        <v>81</v>
      </c>
      <c r="E16" s="15" t="s">
        <v>201</v>
      </c>
    </row>
    <row r="17" ht="24.0" customHeight="1">
      <c r="A17" s="11"/>
      <c r="B17" s="12" t="s">
        <v>67</v>
      </c>
      <c r="C17" s="13" t="s">
        <v>83</v>
      </c>
      <c r="D17" s="13" t="s">
        <v>84</v>
      </c>
      <c r="E17" s="15" t="s">
        <v>85</v>
      </c>
    </row>
    <row r="18" ht="24.0" customHeight="1">
      <c r="A18" s="16"/>
      <c r="B18" s="17" t="s">
        <v>67</v>
      </c>
      <c r="C18" s="18" t="s">
        <v>86</v>
      </c>
      <c r="D18" s="18" t="s">
        <v>84</v>
      </c>
      <c r="E18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202</v>
      </c>
    </row>
    <row r="2">
      <c r="A2" s="6" t="s">
        <v>203</v>
      </c>
      <c r="B2" s="6" t="s">
        <v>204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4" t="s">
        <v>69</v>
      </c>
      <c r="E5" s="15" t="s">
        <v>205</v>
      </c>
    </row>
    <row r="6" ht="24.0" customHeight="1">
      <c r="A6" s="11"/>
      <c r="B6" s="12" t="s">
        <v>67</v>
      </c>
      <c r="C6" s="13" t="s">
        <v>206</v>
      </c>
      <c r="D6" s="13" t="s">
        <v>207</v>
      </c>
      <c r="E6" s="15" t="s">
        <v>208</v>
      </c>
    </row>
    <row r="7" ht="24.0" customHeight="1">
      <c r="A7" s="11"/>
      <c r="B7" s="12"/>
      <c r="C7" s="13" t="s">
        <v>209</v>
      </c>
      <c r="D7" s="13" t="s">
        <v>130</v>
      </c>
      <c r="E7" s="15" t="s">
        <v>210</v>
      </c>
    </row>
    <row r="8" ht="24.0" customHeight="1">
      <c r="A8" s="11"/>
      <c r="B8" s="12"/>
      <c r="C8" s="13" t="s">
        <v>185</v>
      </c>
      <c r="D8" s="13" t="s">
        <v>130</v>
      </c>
      <c r="E8" s="15" t="s">
        <v>211</v>
      </c>
    </row>
    <row r="9" ht="24.0" customHeight="1">
      <c r="A9" s="11"/>
      <c r="B9" s="12" t="s">
        <v>67</v>
      </c>
      <c r="C9" s="13" t="s">
        <v>102</v>
      </c>
      <c r="D9" s="13" t="s">
        <v>103</v>
      </c>
      <c r="E9" s="15" t="s">
        <v>212</v>
      </c>
    </row>
    <row r="10" ht="24.0" customHeight="1">
      <c r="A10" s="11"/>
      <c r="B10" s="12" t="s">
        <v>67</v>
      </c>
      <c r="C10" s="13" t="s">
        <v>200</v>
      </c>
      <c r="D10" s="13" t="s">
        <v>81</v>
      </c>
      <c r="E10" s="15" t="s">
        <v>201</v>
      </c>
    </row>
    <row r="11" ht="24.0" customHeight="1">
      <c r="A11" s="11"/>
      <c r="B11" s="12" t="s">
        <v>67</v>
      </c>
      <c r="C11" s="13" t="s">
        <v>83</v>
      </c>
      <c r="D11" s="13" t="s">
        <v>84</v>
      </c>
      <c r="E11" s="15" t="s">
        <v>85</v>
      </c>
    </row>
    <row r="12" ht="24.0" customHeight="1">
      <c r="A12" s="16"/>
      <c r="B12" s="17" t="s">
        <v>67</v>
      </c>
      <c r="C12" s="18" t="s">
        <v>86</v>
      </c>
      <c r="D12" s="18" t="s">
        <v>84</v>
      </c>
      <c r="E12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213</v>
      </c>
    </row>
    <row r="2">
      <c r="A2" s="6" t="s">
        <v>203</v>
      </c>
      <c r="B2" s="6" t="s">
        <v>214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4" t="s">
        <v>69</v>
      </c>
      <c r="E5" s="15" t="s">
        <v>215</v>
      </c>
    </row>
    <row r="6" ht="24.0" customHeight="1">
      <c r="A6" s="11"/>
      <c r="B6" s="12" t="s">
        <v>67</v>
      </c>
      <c r="C6" s="13" t="s">
        <v>216</v>
      </c>
      <c r="D6" s="14" t="s">
        <v>69</v>
      </c>
      <c r="E6" s="15" t="s">
        <v>217</v>
      </c>
    </row>
    <row r="7" ht="24.0" customHeight="1">
      <c r="A7" s="11"/>
      <c r="B7" s="12" t="s">
        <v>67</v>
      </c>
      <c r="C7" s="13" t="s">
        <v>218</v>
      </c>
      <c r="D7" s="13" t="s">
        <v>130</v>
      </c>
      <c r="E7" s="15" t="s">
        <v>219</v>
      </c>
    </row>
    <row r="8" ht="24.0" customHeight="1">
      <c r="A8" s="11"/>
      <c r="B8" s="12"/>
      <c r="C8" s="13" t="s">
        <v>220</v>
      </c>
      <c r="D8" s="13" t="s">
        <v>130</v>
      </c>
      <c r="E8" s="15" t="s">
        <v>221</v>
      </c>
    </row>
    <row r="9" ht="24.0" customHeight="1">
      <c r="A9" s="11"/>
      <c r="B9" s="12"/>
      <c r="C9" s="13" t="s">
        <v>139</v>
      </c>
      <c r="D9" s="13" t="s">
        <v>207</v>
      </c>
      <c r="E9" s="15" t="s">
        <v>222</v>
      </c>
    </row>
    <row r="10" ht="24.0" customHeight="1">
      <c r="A10" s="11"/>
      <c r="B10" s="12"/>
      <c r="C10" s="13" t="s">
        <v>223</v>
      </c>
      <c r="D10" s="13" t="s">
        <v>130</v>
      </c>
      <c r="E10" s="15" t="s">
        <v>224</v>
      </c>
    </row>
    <row r="11" ht="24.0" customHeight="1">
      <c r="A11" s="11"/>
      <c r="B11" s="12"/>
      <c r="C11" s="13" t="s">
        <v>225</v>
      </c>
      <c r="D11" s="13" t="s">
        <v>84</v>
      </c>
      <c r="E11" s="15" t="s">
        <v>226</v>
      </c>
    </row>
    <row r="12" ht="24.0" customHeight="1">
      <c r="A12" s="11"/>
      <c r="B12" s="12" t="s">
        <v>67</v>
      </c>
      <c r="C12" s="13" t="s">
        <v>102</v>
      </c>
      <c r="D12" s="13" t="s">
        <v>103</v>
      </c>
      <c r="E12" s="15" t="s">
        <v>134</v>
      </c>
    </row>
    <row r="13" ht="24.0" customHeight="1">
      <c r="A13" s="11"/>
      <c r="B13" s="12" t="s">
        <v>67</v>
      </c>
      <c r="C13" s="13" t="s">
        <v>200</v>
      </c>
      <c r="D13" s="13" t="s">
        <v>81</v>
      </c>
      <c r="E13" s="15" t="s">
        <v>201</v>
      </c>
    </row>
    <row r="14" ht="24.0" customHeight="1">
      <c r="A14" s="11"/>
      <c r="B14" s="12" t="s">
        <v>67</v>
      </c>
      <c r="C14" s="13" t="s">
        <v>83</v>
      </c>
      <c r="D14" s="13" t="s">
        <v>84</v>
      </c>
      <c r="E14" s="15" t="s">
        <v>85</v>
      </c>
    </row>
    <row r="15" ht="24.0" customHeight="1">
      <c r="A15" s="16"/>
      <c r="B15" s="17" t="s">
        <v>67</v>
      </c>
      <c r="C15" s="18" t="s">
        <v>86</v>
      </c>
      <c r="D15" s="18" t="s">
        <v>84</v>
      </c>
      <c r="E15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227</v>
      </c>
    </row>
    <row r="2">
      <c r="A2" s="6" t="s">
        <v>228</v>
      </c>
      <c r="B2" s="6" t="s">
        <v>229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4" t="s">
        <v>69</v>
      </c>
      <c r="E5" s="15" t="s">
        <v>230</v>
      </c>
    </row>
    <row r="6" ht="24.0" customHeight="1">
      <c r="A6" s="11"/>
      <c r="B6" s="12" t="s">
        <v>67</v>
      </c>
      <c r="C6" s="13" t="s">
        <v>148</v>
      </c>
      <c r="D6" s="13" t="s">
        <v>149</v>
      </c>
      <c r="E6" s="15" t="s">
        <v>231</v>
      </c>
    </row>
    <row r="7" ht="24.0" customHeight="1">
      <c r="A7" s="11"/>
      <c r="B7" s="12"/>
      <c r="C7" s="13" t="s">
        <v>232</v>
      </c>
      <c r="D7" s="13" t="s">
        <v>95</v>
      </c>
      <c r="E7" s="15" t="s">
        <v>233</v>
      </c>
    </row>
    <row r="8" ht="24.0" customHeight="1">
      <c r="A8" s="11"/>
      <c r="B8" s="12" t="s">
        <v>67</v>
      </c>
      <c r="C8" s="13" t="s">
        <v>234</v>
      </c>
      <c r="D8" s="13" t="s">
        <v>160</v>
      </c>
      <c r="E8" s="15" t="s">
        <v>235</v>
      </c>
    </row>
    <row r="9" ht="24.0" customHeight="1">
      <c r="A9" s="11"/>
      <c r="B9" s="12" t="s">
        <v>67</v>
      </c>
      <c r="C9" s="13" t="s">
        <v>236</v>
      </c>
      <c r="D9" s="13" t="s">
        <v>81</v>
      </c>
      <c r="E9" s="15" t="s">
        <v>237</v>
      </c>
    </row>
    <row r="10" ht="24.0" customHeight="1">
      <c r="A10" s="11"/>
      <c r="B10" s="12" t="s">
        <v>67</v>
      </c>
      <c r="C10" s="13" t="s">
        <v>238</v>
      </c>
      <c r="D10" s="13" t="s">
        <v>81</v>
      </c>
      <c r="E10" s="15" t="s">
        <v>108</v>
      </c>
    </row>
    <row r="11" ht="24.0" customHeight="1">
      <c r="A11" s="11"/>
      <c r="B11" s="12" t="s">
        <v>67</v>
      </c>
      <c r="C11" s="13" t="s">
        <v>102</v>
      </c>
      <c r="D11" s="13" t="s">
        <v>103</v>
      </c>
      <c r="E11" s="15" t="s">
        <v>239</v>
      </c>
    </row>
    <row r="12" ht="24.0" customHeight="1">
      <c r="A12" s="11"/>
      <c r="B12" s="12" t="s">
        <v>67</v>
      </c>
      <c r="C12" s="13" t="s">
        <v>83</v>
      </c>
      <c r="D12" s="13" t="s">
        <v>84</v>
      </c>
      <c r="E12" s="15" t="s">
        <v>85</v>
      </c>
    </row>
    <row r="13" ht="24.0" customHeight="1">
      <c r="A13" s="16"/>
      <c r="B13" s="17" t="s">
        <v>67</v>
      </c>
      <c r="C13" s="18" t="s">
        <v>86</v>
      </c>
      <c r="D13" s="18" t="s">
        <v>84</v>
      </c>
      <c r="E13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240</v>
      </c>
    </row>
    <row r="2">
      <c r="A2" s="6" t="s">
        <v>228</v>
      </c>
      <c r="B2" s="6" t="s">
        <v>241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4" t="s">
        <v>69</v>
      </c>
      <c r="E5" s="15" t="s">
        <v>242</v>
      </c>
    </row>
    <row r="6" ht="24.0" customHeight="1">
      <c r="A6" s="11"/>
      <c r="B6" s="12" t="s">
        <v>67</v>
      </c>
      <c r="C6" s="13" t="s">
        <v>243</v>
      </c>
      <c r="D6" s="14" t="s">
        <v>69</v>
      </c>
      <c r="E6" s="15" t="s">
        <v>244</v>
      </c>
    </row>
    <row r="7" ht="24.0" customHeight="1">
      <c r="A7" s="11"/>
      <c r="B7" s="12" t="s">
        <v>67</v>
      </c>
      <c r="C7" s="13" t="s">
        <v>148</v>
      </c>
      <c r="D7" s="13" t="s">
        <v>149</v>
      </c>
      <c r="E7" s="15" t="s">
        <v>245</v>
      </c>
    </row>
    <row r="8" ht="24.0" customHeight="1">
      <c r="A8" s="11"/>
      <c r="B8" s="12"/>
      <c r="C8" s="13" t="s">
        <v>232</v>
      </c>
      <c r="D8" s="13" t="s">
        <v>95</v>
      </c>
      <c r="E8" s="15" t="s">
        <v>233</v>
      </c>
    </row>
    <row r="9" ht="24.0" customHeight="1">
      <c r="A9" s="11"/>
      <c r="B9" s="12" t="s">
        <v>67</v>
      </c>
      <c r="C9" s="13" t="s">
        <v>234</v>
      </c>
      <c r="D9" s="13" t="s">
        <v>160</v>
      </c>
      <c r="E9" s="15" t="s">
        <v>246</v>
      </c>
    </row>
    <row r="10" ht="24.0" customHeight="1">
      <c r="A10" s="11"/>
      <c r="B10" s="12" t="s">
        <v>67</v>
      </c>
      <c r="C10" s="13" t="s">
        <v>238</v>
      </c>
      <c r="D10" s="13" t="s">
        <v>81</v>
      </c>
      <c r="E10" s="15" t="s">
        <v>108</v>
      </c>
    </row>
    <row r="11" ht="24.0" customHeight="1">
      <c r="A11" s="11"/>
      <c r="B11" s="12" t="s">
        <v>67</v>
      </c>
      <c r="C11" s="13" t="s">
        <v>83</v>
      </c>
      <c r="D11" s="13" t="s">
        <v>84</v>
      </c>
      <c r="E11" s="15" t="s">
        <v>85</v>
      </c>
    </row>
    <row r="12" ht="24.0" customHeight="1">
      <c r="A12" s="16"/>
      <c r="B12" s="17" t="s">
        <v>67</v>
      </c>
      <c r="C12" s="18" t="s">
        <v>86</v>
      </c>
      <c r="D12" s="18" t="s">
        <v>84</v>
      </c>
      <c r="E12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247</v>
      </c>
    </row>
    <row r="2">
      <c r="A2" s="6" t="s">
        <v>248</v>
      </c>
      <c r="B2" s="6" t="s">
        <v>249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4" t="s">
        <v>69</v>
      </c>
      <c r="E5" s="15" t="s">
        <v>250</v>
      </c>
    </row>
    <row r="6" ht="24.0" customHeight="1">
      <c r="A6" s="11"/>
      <c r="B6" s="12" t="s">
        <v>67</v>
      </c>
      <c r="C6" s="13" t="s">
        <v>251</v>
      </c>
      <c r="D6" s="13" t="s">
        <v>149</v>
      </c>
      <c r="E6" s="15" t="s">
        <v>252</v>
      </c>
    </row>
    <row r="7" ht="24.0" customHeight="1">
      <c r="A7" s="11"/>
      <c r="B7" s="12"/>
      <c r="C7" s="13" t="s">
        <v>253</v>
      </c>
      <c r="D7" s="13" t="s">
        <v>78</v>
      </c>
      <c r="E7" s="15" t="s">
        <v>254</v>
      </c>
    </row>
    <row r="8" ht="24.0" customHeight="1">
      <c r="A8" s="11"/>
      <c r="B8" s="12" t="s">
        <v>67</v>
      </c>
      <c r="C8" s="13" t="s">
        <v>102</v>
      </c>
      <c r="D8" s="13" t="s">
        <v>103</v>
      </c>
      <c r="E8" s="15" t="s">
        <v>134</v>
      </c>
    </row>
    <row r="9" ht="24.0" customHeight="1">
      <c r="A9" s="11"/>
      <c r="B9" s="12" t="s">
        <v>67</v>
      </c>
      <c r="C9" s="13" t="s">
        <v>107</v>
      </c>
      <c r="D9" s="13" t="s">
        <v>81</v>
      </c>
      <c r="E9" s="15" t="s">
        <v>108</v>
      </c>
    </row>
    <row r="10" ht="24.0" customHeight="1">
      <c r="A10" s="11"/>
      <c r="B10" s="12" t="s">
        <v>67</v>
      </c>
      <c r="C10" s="13" t="s">
        <v>83</v>
      </c>
      <c r="D10" s="13" t="s">
        <v>84</v>
      </c>
      <c r="E10" s="15" t="s">
        <v>85</v>
      </c>
    </row>
    <row r="11" ht="24.0" customHeight="1">
      <c r="A11" s="16"/>
      <c r="B11" s="17" t="s">
        <v>67</v>
      </c>
      <c r="C11" s="18" t="s">
        <v>86</v>
      </c>
      <c r="D11" s="18" t="s">
        <v>84</v>
      </c>
      <c r="E11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255</v>
      </c>
    </row>
    <row r="2">
      <c r="A2" s="6" t="s">
        <v>248</v>
      </c>
      <c r="B2" s="6" t="s">
        <v>256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4" t="s">
        <v>69</v>
      </c>
      <c r="E5" s="15" t="s">
        <v>257</v>
      </c>
    </row>
    <row r="6" ht="24.0" customHeight="1">
      <c r="A6" s="11"/>
      <c r="B6" s="12" t="s">
        <v>67</v>
      </c>
      <c r="C6" s="13" t="s">
        <v>258</v>
      </c>
      <c r="D6" s="14" t="s">
        <v>69</v>
      </c>
      <c r="E6" s="15" t="s">
        <v>259</v>
      </c>
    </row>
    <row r="7" ht="24.0" customHeight="1">
      <c r="A7" s="11"/>
      <c r="B7" s="12" t="s">
        <v>67</v>
      </c>
      <c r="C7" s="13" t="s">
        <v>260</v>
      </c>
      <c r="D7" s="13" t="s">
        <v>207</v>
      </c>
      <c r="E7" s="15" t="s">
        <v>261</v>
      </c>
    </row>
    <row r="8" ht="24.0" customHeight="1">
      <c r="A8" s="11"/>
      <c r="B8" s="12"/>
      <c r="C8" s="13" t="s">
        <v>262</v>
      </c>
      <c r="D8" s="13" t="s">
        <v>130</v>
      </c>
      <c r="E8" s="15" t="s">
        <v>263</v>
      </c>
    </row>
    <row r="9" ht="24.0" customHeight="1">
      <c r="A9" s="11"/>
      <c r="B9" s="12" t="s">
        <v>67</v>
      </c>
      <c r="C9" s="13" t="s">
        <v>264</v>
      </c>
      <c r="D9" s="13" t="s">
        <v>103</v>
      </c>
      <c r="E9" s="15" t="s">
        <v>265</v>
      </c>
    </row>
    <row r="10" ht="24.0" customHeight="1">
      <c r="A10" s="11"/>
      <c r="B10" s="12"/>
      <c r="C10" s="13" t="s">
        <v>218</v>
      </c>
      <c r="D10" s="13" t="s">
        <v>130</v>
      </c>
      <c r="E10" s="15" t="s">
        <v>266</v>
      </c>
    </row>
    <row r="11" ht="24.0" customHeight="1">
      <c r="A11" s="11"/>
      <c r="B11" s="12"/>
      <c r="C11" s="13" t="s">
        <v>267</v>
      </c>
      <c r="D11" s="13" t="s">
        <v>75</v>
      </c>
      <c r="E11" s="15" t="s">
        <v>268</v>
      </c>
    </row>
    <row r="12" ht="24.0" customHeight="1">
      <c r="A12" s="11"/>
      <c r="B12" s="12" t="s">
        <v>67</v>
      </c>
      <c r="C12" s="13" t="s">
        <v>102</v>
      </c>
      <c r="D12" s="13" t="s">
        <v>103</v>
      </c>
      <c r="E12" s="15" t="s">
        <v>269</v>
      </c>
    </row>
    <row r="13" ht="24.0" customHeight="1">
      <c r="A13" s="11"/>
      <c r="B13" s="12" t="s">
        <v>67</v>
      </c>
      <c r="C13" s="13" t="s">
        <v>270</v>
      </c>
      <c r="D13" s="13" t="s">
        <v>81</v>
      </c>
      <c r="E13" s="15" t="s">
        <v>271</v>
      </c>
    </row>
    <row r="14" ht="24.0" customHeight="1">
      <c r="A14" s="11"/>
      <c r="B14" s="12" t="s">
        <v>67</v>
      </c>
      <c r="C14" s="13" t="s">
        <v>83</v>
      </c>
      <c r="D14" s="13" t="s">
        <v>84</v>
      </c>
      <c r="E14" s="15" t="s">
        <v>85</v>
      </c>
    </row>
    <row r="15" ht="24.0" customHeight="1">
      <c r="A15" s="16"/>
      <c r="B15" s="17" t="s">
        <v>67</v>
      </c>
      <c r="C15" s="18" t="s">
        <v>86</v>
      </c>
      <c r="D15" s="18" t="s">
        <v>84</v>
      </c>
      <c r="E15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272</v>
      </c>
    </row>
    <row r="2">
      <c r="A2" s="6" t="s">
        <v>248</v>
      </c>
      <c r="B2" s="6" t="s">
        <v>273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4" t="s">
        <v>69</v>
      </c>
      <c r="E5" s="15" t="s">
        <v>274</v>
      </c>
    </row>
    <row r="6" ht="24.0" customHeight="1">
      <c r="A6" s="11"/>
      <c r="B6" s="12" t="s">
        <v>67</v>
      </c>
      <c r="C6" s="13" t="s">
        <v>275</v>
      </c>
      <c r="D6" s="13" t="s">
        <v>207</v>
      </c>
      <c r="E6" s="15" t="s">
        <v>276</v>
      </c>
    </row>
    <row r="7" ht="24.0" customHeight="1">
      <c r="A7" s="11"/>
      <c r="B7" s="12"/>
      <c r="C7" s="13" t="s">
        <v>277</v>
      </c>
      <c r="D7" s="13" t="s">
        <v>130</v>
      </c>
      <c r="E7" s="15" t="s">
        <v>278</v>
      </c>
    </row>
    <row r="8" ht="24.0" customHeight="1">
      <c r="A8" s="11"/>
      <c r="B8" s="12" t="s">
        <v>67</v>
      </c>
      <c r="C8" s="13" t="s">
        <v>279</v>
      </c>
      <c r="D8" s="13" t="s">
        <v>103</v>
      </c>
      <c r="E8" s="15" t="s">
        <v>280</v>
      </c>
    </row>
    <row r="9" ht="24.0" customHeight="1">
      <c r="A9" s="11"/>
      <c r="B9" s="12"/>
      <c r="C9" s="13" t="s">
        <v>218</v>
      </c>
      <c r="D9" s="13" t="s">
        <v>130</v>
      </c>
      <c r="E9" s="15" t="s">
        <v>281</v>
      </c>
    </row>
    <row r="10" ht="24.0" customHeight="1">
      <c r="A10" s="11"/>
      <c r="B10" s="12" t="s">
        <v>67</v>
      </c>
      <c r="C10" s="13" t="s">
        <v>102</v>
      </c>
      <c r="D10" s="13" t="s">
        <v>103</v>
      </c>
      <c r="E10" s="15" t="s">
        <v>134</v>
      </c>
    </row>
    <row r="11" ht="24.0" customHeight="1">
      <c r="A11" s="11"/>
      <c r="B11" s="12" t="s">
        <v>67</v>
      </c>
      <c r="C11" s="13" t="s">
        <v>270</v>
      </c>
      <c r="D11" s="13" t="s">
        <v>81</v>
      </c>
      <c r="E11" s="15" t="s">
        <v>271</v>
      </c>
    </row>
    <row r="12" ht="24.0" customHeight="1">
      <c r="A12" s="11"/>
      <c r="B12" s="12" t="s">
        <v>67</v>
      </c>
      <c r="C12" s="13" t="s">
        <v>83</v>
      </c>
      <c r="D12" s="13" t="s">
        <v>84</v>
      </c>
      <c r="E12" s="15" t="s">
        <v>85</v>
      </c>
    </row>
    <row r="13" ht="24.0" customHeight="1">
      <c r="A13" s="16"/>
      <c r="B13" s="17" t="s">
        <v>67</v>
      </c>
      <c r="C13" s="18" t="s">
        <v>86</v>
      </c>
      <c r="D13" s="18" t="s">
        <v>84</v>
      </c>
      <c r="E13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282</v>
      </c>
    </row>
    <row r="2">
      <c r="A2" s="6" t="s">
        <v>248</v>
      </c>
      <c r="B2" s="6" t="s">
        <v>283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4" t="s">
        <v>69</v>
      </c>
      <c r="E5" s="15" t="s">
        <v>284</v>
      </c>
    </row>
    <row r="6" ht="24.0" customHeight="1">
      <c r="A6" s="11"/>
      <c r="B6" s="12" t="s">
        <v>67</v>
      </c>
      <c r="C6" s="13" t="s">
        <v>285</v>
      </c>
      <c r="D6" s="14" t="s">
        <v>69</v>
      </c>
      <c r="E6" s="15" t="s">
        <v>286</v>
      </c>
    </row>
    <row r="7" ht="24.0" customHeight="1">
      <c r="A7" s="11"/>
      <c r="B7" s="12" t="s">
        <v>67</v>
      </c>
      <c r="C7" s="13" t="s">
        <v>287</v>
      </c>
      <c r="D7" s="14" t="s">
        <v>69</v>
      </c>
      <c r="E7" s="15" t="s">
        <v>288</v>
      </c>
    </row>
    <row r="8" ht="24.0" customHeight="1">
      <c r="A8" s="11"/>
      <c r="B8" s="12" t="s">
        <v>67</v>
      </c>
      <c r="C8" s="13" t="s">
        <v>289</v>
      </c>
      <c r="D8" s="14" t="s">
        <v>98</v>
      </c>
      <c r="E8" s="15" t="s">
        <v>290</v>
      </c>
    </row>
    <row r="9" ht="24.0" customHeight="1">
      <c r="A9" s="11"/>
      <c r="B9" s="12" t="s">
        <v>67</v>
      </c>
      <c r="C9" s="13" t="s">
        <v>291</v>
      </c>
      <c r="D9" s="13" t="s">
        <v>103</v>
      </c>
      <c r="E9" s="15" t="s">
        <v>292</v>
      </c>
    </row>
    <row r="10" ht="24.0" customHeight="1">
      <c r="A10" s="11"/>
      <c r="B10" s="12" t="s">
        <v>67</v>
      </c>
      <c r="C10" s="13" t="s">
        <v>102</v>
      </c>
      <c r="D10" s="13" t="s">
        <v>103</v>
      </c>
      <c r="E10" s="15" t="s">
        <v>293</v>
      </c>
    </row>
    <row r="11" ht="24.0" customHeight="1">
      <c r="A11" s="11"/>
      <c r="B11" s="12" t="s">
        <v>67</v>
      </c>
      <c r="C11" s="13" t="s">
        <v>83</v>
      </c>
      <c r="D11" s="13" t="s">
        <v>84</v>
      </c>
      <c r="E11" s="15" t="s">
        <v>85</v>
      </c>
    </row>
    <row r="12" ht="24.0" customHeight="1">
      <c r="A12" s="16"/>
      <c r="B12" s="17" t="s">
        <v>67</v>
      </c>
      <c r="C12" s="18" t="s">
        <v>86</v>
      </c>
      <c r="D12" s="18" t="s">
        <v>84</v>
      </c>
      <c r="E12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294</v>
      </c>
    </row>
    <row r="2">
      <c r="A2" s="6" t="s">
        <v>295</v>
      </c>
      <c r="B2" s="6" t="s">
        <v>296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4" t="s">
        <v>69</v>
      </c>
      <c r="E5" s="15" t="s">
        <v>297</v>
      </c>
    </row>
    <row r="6" ht="24.0" customHeight="1">
      <c r="A6" s="11"/>
      <c r="B6" s="12" t="s">
        <v>67</v>
      </c>
      <c r="C6" s="13" t="s">
        <v>171</v>
      </c>
      <c r="D6" s="14" t="s">
        <v>69</v>
      </c>
      <c r="E6" s="15" t="s">
        <v>298</v>
      </c>
    </row>
    <row r="7" ht="24.0" customHeight="1">
      <c r="A7" s="11"/>
      <c r="B7" s="12" t="s">
        <v>67</v>
      </c>
      <c r="C7" s="13" t="s">
        <v>299</v>
      </c>
      <c r="D7" s="13" t="s">
        <v>149</v>
      </c>
      <c r="E7" s="15" t="s">
        <v>300</v>
      </c>
    </row>
    <row r="8" ht="24.0" customHeight="1">
      <c r="A8" s="11"/>
      <c r="B8" s="12"/>
      <c r="C8" s="13" t="s">
        <v>301</v>
      </c>
      <c r="D8" s="13" t="s">
        <v>130</v>
      </c>
      <c r="E8" s="15" t="s">
        <v>302</v>
      </c>
    </row>
    <row r="9" ht="24.0" customHeight="1">
      <c r="A9" s="11"/>
      <c r="B9" s="12" t="s">
        <v>67</v>
      </c>
      <c r="C9" s="13" t="s">
        <v>303</v>
      </c>
      <c r="D9" s="14" t="s">
        <v>98</v>
      </c>
      <c r="E9" s="15" t="s">
        <v>304</v>
      </c>
    </row>
    <row r="10" ht="24.0" customHeight="1">
      <c r="A10" s="11"/>
      <c r="B10" s="12" t="s">
        <v>67</v>
      </c>
      <c r="C10" s="13" t="s">
        <v>187</v>
      </c>
      <c r="D10" s="13" t="s">
        <v>84</v>
      </c>
      <c r="E10" s="15" t="s">
        <v>305</v>
      </c>
    </row>
    <row r="11" ht="24.0" customHeight="1">
      <c r="A11" s="11"/>
      <c r="B11" s="12" t="s">
        <v>67</v>
      </c>
      <c r="C11" s="13" t="s">
        <v>189</v>
      </c>
      <c r="D11" s="13" t="s">
        <v>84</v>
      </c>
      <c r="E11" s="15" t="s">
        <v>306</v>
      </c>
    </row>
    <row r="12" ht="24.0" customHeight="1">
      <c r="A12" s="11"/>
      <c r="B12" s="12"/>
      <c r="C12" s="13" t="s">
        <v>307</v>
      </c>
      <c r="D12" s="13" t="s">
        <v>72</v>
      </c>
      <c r="E12" s="15" t="s">
        <v>308</v>
      </c>
    </row>
    <row r="13" ht="24.0" customHeight="1">
      <c r="A13" s="11"/>
      <c r="B13" s="12"/>
      <c r="C13" s="13" t="s">
        <v>309</v>
      </c>
      <c r="D13" s="13" t="s">
        <v>78</v>
      </c>
      <c r="E13" s="15" t="s">
        <v>310</v>
      </c>
    </row>
    <row r="14" ht="24.0" customHeight="1">
      <c r="A14" s="11"/>
      <c r="B14" s="12" t="s">
        <v>67</v>
      </c>
      <c r="C14" s="13" t="s">
        <v>83</v>
      </c>
      <c r="D14" s="13" t="s">
        <v>84</v>
      </c>
      <c r="E14" s="15" t="s">
        <v>85</v>
      </c>
    </row>
    <row r="15" ht="24.0" customHeight="1">
      <c r="A15" s="16"/>
      <c r="B15" s="17" t="s">
        <v>67</v>
      </c>
      <c r="C15" s="18" t="s">
        <v>86</v>
      </c>
      <c r="D15" s="18" t="s">
        <v>84</v>
      </c>
      <c r="E15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0.5"/>
    <col customWidth="1" min="3" max="3" width="20.0"/>
    <col customWidth="1" min="4" max="4" width="16.63"/>
    <col customWidth="1" min="5" max="5" width="62.25"/>
    <col customWidth="1" min="6" max="26" width="8.63"/>
  </cols>
  <sheetData>
    <row r="1" ht="25.5" customHeight="1">
      <c r="A1" s="1" t="s">
        <v>311</v>
      </c>
    </row>
    <row r="2">
      <c r="A2" s="6" t="s">
        <v>312</v>
      </c>
      <c r="B2" s="6" t="s">
        <v>313</v>
      </c>
      <c r="C2" s="6" t="s">
        <v>59</v>
      </c>
      <c r="D2" s="6" t="s">
        <v>60</v>
      </c>
      <c r="E2" s="6" t="s">
        <v>61</v>
      </c>
    </row>
    <row r="3">
      <c r="A3" s="7" t="str">
        <f>HYPERLINK("#'總覽'!A1","← 返回總覽")</f>
        <v>← 返回總覽</v>
      </c>
    </row>
    <row r="4" ht="24.0" customHeight="1">
      <c r="A4" s="8" t="s">
        <v>62</v>
      </c>
      <c r="B4" s="9" t="s">
        <v>63</v>
      </c>
      <c r="C4" s="9" t="s">
        <v>64</v>
      </c>
      <c r="D4" s="9" t="s">
        <v>65</v>
      </c>
      <c r="E4" s="10" t="s">
        <v>66</v>
      </c>
    </row>
    <row r="5" ht="24.0" customHeight="1">
      <c r="A5" s="11" t="s">
        <v>67</v>
      </c>
      <c r="B5" s="12" t="s">
        <v>67</v>
      </c>
      <c r="C5" s="13" t="s">
        <v>68</v>
      </c>
      <c r="D5" s="14" t="s">
        <v>69</v>
      </c>
      <c r="E5" s="15" t="s">
        <v>314</v>
      </c>
    </row>
    <row r="6" ht="24.0" customHeight="1">
      <c r="A6" s="11"/>
      <c r="B6" s="12" t="s">
        <v>67</v>
      </c>
      <c r="C6" s="13" t="s">
        <v>315</v>
      </c>
      <c r="D6" s="14" t="s">
        <v>98</v>
      </c>
      <c r="E6" s="15" t="s">
        <v>316</v>
      </c>
    </row>
    <row r="7" ht="24.0" customHeight="1">
      <c r="A7" s="11"/>
      <c r="B7" s="12"/>
      <c r="C7" s="13" t="s">
        <v>317</v>
      </c>
      <c r="D7" s="14" t="s">
        <v>69</v>
      </c>
      <c r="E7" s="15" t="s">
        <v>318</v>
      </c>
    </row>
    <row r="8" ht="24.0" customHeight="1">
      <c r="A8" s="11"/>
      <c r="B8" s="12" t="s">
        <v>67</v>
      </c>
      <c r="C8" s="13" t="s">
        <v>319</v>
      </c>
      <c r="D8" s="13" t="s">
        <v>72</v>
      </c>
      <c r="E8" s="15" t="s">
        <v>320</v>
      </c>
    </row>
    <row r="9" ht="24.0" customHeight="1">
      <c r="A9" s="11"/>
      <c r="B9" s="12"/>
      <c r="C9" s="13" t="s">
        <v>321</v>
      </c>
      <c r="D9" s="13" t="s">
        <v>130</v>
      </c>
      <c r="E9" s="15" t="s">
        <v>322</v>
      </c>
    </row>
    <row r="10" ht="24.0" customHeight="1">
      <c r="A10" s="11"/>
      <c r="B10" s="12"/>
      <c r="C10" s="13" t="s">
        <v>323</v>
      </c>
      <c r="D10" s="13" t="s">
        <v>72</v>
      </c>
      <c r="E10" s="15" t="s">
        <v>324</v>
      </c>
    </row>
    <row r="11" ht="24.0" customHeight="1">
      <c r="A11" s="11"/>
      <c r="B11" s="12" t="s">
        <v>67</v>
      </c>
      <c r="C11" s="13" t="s">
        <v>325</v>
      </c>
      <c r="D11" s="13" t="s">
        <v>103</v>
      </c>
      <c r="E11" s="15" t="s">
        <v>326</v>
      </c>
    </row>
    <row r="12" ht="24.0" customHeight="1">
      <c r="A12" s="11"/>
      <c r="B12" s="12" t="s">
        <v>67</v>
      </c>
      <c r="C12" s="13" t="s">
        <v>327</v>
      </c>
      <c r="D12" s="13" t="s">
        <v>103</v>
      </c>
      <c r="E12" s="15" t="s">
        <v>328</v>
      </c>
    </row>
    <row r="13" ht="24.0" customHeight="1">
      <c r="A13" s="11"/>
      <c r="B13" s="12"/>
      <c r="C13" s="13" t="s">
        <v>329</v>
      </c>
      <c r="D13" s="13" t="s">
        <v>72</v>
      </c>
      <c r="E13" s="15" t="s">
        <v>330</v>
      </c>
    </row>
    <row r="14" ht="24.0" customHeight="1">
      <c r="A14" s="11"/>
      <c r="B14" s="12"/>
      <c r="C14" s="13" t="s">
        <v>331</v>
      </c>
      <c r="D14" s="13" t="s">
        <v>69</v>
      </c>
      <c r="E14" s="15" t="s">
        <v>332</v>
      </c>
    </row>
    <row r="15" ht="24.0" customHeight="1">
      <c r="A15" s="11"/>
      <c r="B15" s="12" t="s">
        <v>67</v>
      </c>
      <c r="C15" s="13" t="s">
        <v>200</v>
      </c>
      <c r="D15" s="13" t="s">
        <v>81</v>
      </c>
      <c r="E15" s="15" t="s">
        <v>201</v>
      </c>
    </row>
    <row r="16" ht="24.0" customHeight="1">
      <c r="A16" s="11"/>
      <c r="B16" s="12" t="s">
        <v>67</v>
      </c>
      <c r="C16" s="13" t="s">
        <v>83</v>
      </c>
      <c r="D16" s="13" t="s">
        <v>84</v>
      </c>
      <c r="E16" s="15" t="s">
        <v>85</v>
      </c>
    </row>
    <row r="17" ht="24.0" customHeight="1">
      <c r="A17" s="16"/>
      <c r="B17" s="17" t="s">
        <v>67</v>
      </c>
      <c r="C17" s="18" t="s">
        <v>86</v>
      </c>
      <c r="D17" s="18" t="s">
        <v>84</v>
      </c>
      <c r="E17" s="1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